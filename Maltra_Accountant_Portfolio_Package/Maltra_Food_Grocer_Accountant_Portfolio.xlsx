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Monthly P&amp;L" sheetId="3" state="visible" r:id="rId3"/>
    <sheet xmlns:r="http://schemas.openxmlformats.org/officeDocument/2006/relationships" name="GL Reconciliation" sheetId="4" state="visible" r:id="rId4"/>
    <sheet xmlns:r="http://schemas.openxmlformats.org/officeDocument/2006/relationships" name="Intercompany" sheetId="5" state="visible" r:id="rId5"/>
    <sheet xmlns:r="http://schemas.openxmlformats.org/officeDocument/2006/relationships" name="Inventory &amp; COGS" sheetId="6" state="visible" r:id="rId6"/>
    <sheet xmlns:r="http://schemas.openxmlformats.org/officeDocument/2006/relationships" name="Fixed Assets" sheetId="7" state="visible" r:id="rId7"/>
    <sheet xmlns:r="http://schemas.openxmlformats.org/officeDocument/2006/relationships" name="CAPEX Analysis" sheetId="8" state="visible" r:id="rId8"/>
    <sheet xmlns:r="http://schemas.openxmlformats.org/officeDocument/2006/relationships" name="Close Checklist" sheetId="9" state="visible" r:id="rId9"/>
    <sheet xmlns:r="http://schemas.openxmlformats.org/officeDocument/2006/relationships" name="Journal Register" sheetId="10" state="visible" r:id="rId10"/>
    <sheet xmlns:r="http://schemas.openxmlformats.org/officeDocument/2006/relationships" name="Audit &amp; ABS" sheetId="11" state="visible" r:id="rId11"/>
    <sheet xmlns:r="http://schemas.openxmlformats.org/officeDocument/2006/relationships" name="Process Improvement" sheetId="12" state="visible" r:id="rId12"/>
    <sheet xmlns:r="http://schemas.openxmlformats.org/officeDocument/2006/relationships" name="PowerBI Data" sheetId="13" state="visible" r:id="rId13"/>
  </sheets>
  <definedNames>
    <definedName name="_xlnm._FilterDatabase" localSheetId="2" hidden="1">'Monthly P&amp;L'!$A$4:$O$8</definedName>
    <definedName name="_xlnm._FilterDatabase" localSheetId="3" hidden="1">'GL Reconciliation'!$A$4:$M$10</definedName>
    <definedName name="_xlnm._FilterDatabase" localSheetId="12" hidden="1">'PowerBI Data'!$A$4:$G$36</definedName>
  </definedNames>
  <calcPr calcId="124519" calcMode="auto" fullCalcOnLoad="1" forceFullCalc="1"/>
</workbook>
</file>

<file path=xl/styles.xml><?xml version="1.0" encoding="utf-8"?>
<styleSheet xmlns="http://schemas.openxmlformats.org/spreadsheetml/2006/main">
  <numFmts count="3">
    <numFmt numFmtId="164" formatCode="&quot;$&quot;#,##0;[Red](&quot;$&quot;#,##0);-"/>
    <numFmt numFmtId="165" formatCode="0.0%"/>
    <numFmt numFmtId="166" formatCode="dd-mmm-yyyy"/>
  </numFmts>
  <fonts count="8">
    <font>
      <name val="Calibri"/>
      <family val="2"/>
      <color theme="1"/>
      <sz val="11"/>
      <scheme val="minor"/>
    </font>
    <font>
      <name val="Aptos Display"/>
      <b val="1"/>
      <color rgb="00FFFFFF"/>
      <sz val="16"/>
    </font>
    <font>
      <i val="1"/>
      <color rgb="00666666"/>
      <sz val="10"/>
    </font>
    <font>
      <b val="1"/>
      <color rgb="001F4E78"/>
      <sz val="12"/>
    </font>
    <font>
      <b val="1"/>
      <color rgb="00FFFFFF"/>
    </font>
    <font>
      <b val="1"/>
      <color rgb="0017365D"/>
      <sz val="14"/>
    </font>
    <font>
      <b val="1"/>
      <color rgb="00FFFFFF"/>
      <sz val="12"/>
    </font>
    <font>
      <name val="Aptos"/>
      <sz val="10"/>
    </font>
  </fonts>
  <fills count="6">
    <fill>
      <patternFill/>
    </fill>
    <fill>
      <patternFill patternType="gray125"/>
    </fill>
    <fill>
      <patternFill patternType="solid">
        <fgColor rgb="0017365D"/>
      </patternFill>
    </fill>
    <fill>
      <patternFill patternType="solid">
        <fgColor rgb="001F4E78"/>
      </patternFill>
    </fill>
    <fill>
      <patternFill patternType="solid">
        <fgColor rgb="000F6B78"/>
      </patternFill>
    </fill>
    <fill>
      <patternFill patternType="solid">
        <fgColor rgb="00D9EAF7"/>
      </patternFill>
    </fill>
  </fills>
  <borders count="3">
    <border>
      <left/>
      <right/>
      <top/>
      <bottom/>
      <diagonal/>
    </border>
    <border>
      <bottom style="thin">
        <color rgb="00D9E1F2"/>
      </bottom>
    </border>
    <border>
      <left/>
      <right/>
      <top/>
      <bottom style="thin">
        <color rgb="00D9E1F2"/>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7" fillId="0" borderId="0" pivotButton="0" quotePrefix="0" xfId="0"/>
    <xf numFmtId="0" fontId="0" fillId="0" borderId="0" applyAlignment="1" pivotButton="0" quotePrefix="0" xfId="0">
      <alignment vertical="top" wrapText="1"/>
    </xf>
    <xf numFmtId="0" fontId="7" fillId="3" borderId="1" applyAlignment="1" pivotButton="0" quotePrefix="0" xfId="0">
      <alignment vertical="top" wrapText="1"/>
    </xf>
    <xf numFmtId="0" fontId="0" fillId="0" borderId="1" applyAlignment="1" pivotButton="0" quotePrefix="0" xfId="0">
      <alignment vertical="top" wrapText="1"/>
    </xf>
    <xf numFmtId="0" fontId="7" fillId="4" borderId="0" pivotButton="0" quotePrefix="0" xfId="0"/>
    <xf numFmtId="164" fontId="7" fillId="5" borderId="0" pivotButton="0" quotePrefix="0" xfId="0"/>
    <xf numFmtId="1" fontId="7" fillId="5" borderId="0" pivotButton="0" quotePrefix="0" xfId="0"/>
    <xf numFmtId="9" fontId="7" fillId="5" borderId="0" pivotButton="0" quotePrefix="0" xfId="0"/>
    <xf numFmtId="0" fontId="7" fillId="2" borderId="0" pivotButton="0" quotePrefix="0" xfId="0"/>
    <xf numFmtId="164"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9" fontId="0" fillId="0" borderId="1" applyAlignment="1" pivotButton="0" quotePrefix="0" xfId="0">
      <alignment vertical="top" wrapText="1"/>
    </xf>
    <xf numFmtId="0" fontId="0" fillId="0" borderId="2" pivotButton="0" quotePrefix="0" xfId="0"/>
    <xf numFmtId="166" fontId="0" fillId="0" borderId="1"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PowerBIFactData" displayName="PowerBIFactData" ref="A4:G36" headerRowCount="1">
  <autoFilter ref="A4:G36"/>
  <tableColumns count="7">
    <tableColumn id="1" name="Month"/>
    <tableColumn id="2" name="Entity"/>
    <tableColumn id="3" name="Metric"/>
    <tableColumn id="4" name="Scenario"/>
    <tableColumn id="5" name="Amount"/>
    <tableColumn id="6" name="Currency"/>
    <tableColumn id="7" name="Data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F4E78"/>
    <outlinePr summaryBelow="1" summaryRight="1"/>
    <pageSetUpPr fitToPage="1"/>
  </sheetPr>
  <dimension ref="A1:H25"/>
  <sheetViews>
    <sheetView showGridLines="0" zoomScale="90" workbookViewId="0">
      <pane ySplit="13" topLeftCell="A14" activePane="bottomLeft" state="frozen"/>
      <selection pane="bottomLeft" activeCell="A1" sqref="A1"/>
    </sheetView>
  </sheetViews>
  <sheetFormatPr baseColWidth="8" defaultRowHeight="15"/>
  <cols>
    <col width="28" customWidth="1" min="1" max="1"/>
    <col width="28" customWidth="1" min="2" max="2"/>
    <col width="15" customWidth="1" min="3" max="3"/>
    <col width="15" customWidth="1" min="4" max="4"/>
    <col width="15" customWidth="1" min="5" max="5"/>
    <col width="15" customWidth="1" min="6" max="6"/>
    <col width="15" customWidth="1" min="7" max="7"/>
    <col width="15" customWidth="1" min="8" max="8"/>
  </cols>
  <sheetData>
    <row r="1" ht="28" customHeight="1">
      <c r="A1" s="1" t="inlineStr">
        <is>
          <t>MALTRA FOOD GROCER | ACCOUNTANT PORTFOLIO</t>
        </is>
      </c>
    </row>
    <row r="2">
      <c r="A2" s="2" t="inlineStr">
        <is>
          <t>Independent fictional case study | September 2026 | AUD | prepared for skills demonstration</t>
        </is>
      </c>
    </row>
    <row r="4">
      <c r="A4" s="2" t="inlineStr">
        <is>
          <t>Purpose</t>
        </is>
      </c>
    </row>
    <row r="5">
      <c r="A5" t="inlineStr">
        <is>
          <t>Demonstrates month-end close, management reporting, reconciliations, inventory/COGS, fixed assets, CAPEX, audit/ABS support, multi-entity controls and process improvement.</t>
        </is>
      </c>
    </row>
    <row r="7">
      <c r="A7" s="2" t="inlineStr">
        <is>
          <t>Important data disclaimer</t>
        </is>
      </c>
    </row>
    <row r="8">
      <c r="A8" s="3" t="inlineStr">
        <is>
          <t>Maltra Food Grocer is a fictional portfolio case study. All entities, balances, transactions, dates, results and scenarios are illustrative and not actual company information. This work is not affiliated with Maltra Foods or Robert Half and should not be presented as employment work or a live company's records.</t>
        </is>
      </c>
    </row>
    <row r="9"/>
    <row r="11">
      <c r="A11" s="2" t="inlineStr">
        <is>
          <t>How to use the portfolio</t>
        </is>
      </c>
    </row>
    <row r="13" ht="30" customHeight="1">
      <c r="A13" s="4" t="inlineStr">
        <is>
          <t>Workbook area</t>
        </is>
      </c>
      <c r="B13" s="4" t="inlineStr">
        <is>
          <t>Purpose</t>
        </is>
      </c>
      <c r="C13" s="5" t="n"/>
      <c r="D13" s="5" t="n"/>
      <c r="E13" s="5" t="n"/>
      <c r="F13" s="5" t="n"/>
      <c r="G13" s="5" t="n"/>
      <c r="H13" s="5" t="n"/>
    </row>
    <row r="14">
      <c r="A14" s="5" t="inlineStr">
        <is>
          <t>1. Dashboard</t>
        </is>
      </c>
      <c r="B14" s="5" t="inlineStr">
        <is>
          <t>Start with the headline KPIs, financial performance and open exceptions.</t>
        </is>
      </c>
      <c r="C14" s="15" t="n"/>
      <c r="D14" s="15" t="n"/>
      <c r="E14" s="15" t="n"/>
      <c r="F14" s="15" t="n"/>
      <c r="G14" s="15" t="n"/>
      <c r="H14" s="15" t="n"/>
    </row>
    <row r="15">
      <c r="A15" s="5" t="inlineStr">
        <is>
          <t>2. Monthly P&amp;L</t>
        </is>
      </c>
      <c r="B15" s="5" t="inlineStr">
        <is>
          <t>Review entity-level actual vs budget and explain variances using evidence, not assumptions.</t>
        </is>
      </c>
      <c r="C15" s="15" t="n"/>
      <c r="D15" s="15" t="n"/>
      <c r="E15" s="15" t="n"/>
      <c r="F15" s="15" t="n"/>
      <c r="G15" s="15" t="n"/>
      <c r="H15" s="15" t="n"/>
    </row>
    <row r="16">
      <c r="A16" s="5" t="inlineStr">
        <is>
          <t>3. GL Reconciliation</t>
        </is>
      </c>
      <c r="B16" s="5" t="inlineStr">
        <is>
          <t>Resolve items by cause, action, evidence and reviewer approval; formulas flag residual differences.</t>
        </is>
      </c>
      <c r="C16" s="15" t="n"/>
      <c r="D16" s="15" t="n"/>
      <c r="E16" s="15" t="n"/>
      <c r="F16" s="15" t="n"/>
      <c r="G16" s="15" t="n"/>
      <c r="H16" s="15" t="n"/>
    </row>
    <row r="17">
      <c r="A17" s="5" t="inlineStr">
        <is>
          <t>4. Intercompany</t>
        </is>
      </c>
      <c r="B17" s="5" t="inlineStr">
        <is>
          <t>Use opposite-sign balances and net differences to identify mismatches before consolidation.</t>
        </is>
      </c>
      <c r="C17" s="15" t="n"/>
      <c r="D17" s="15" t="n"/>
      <c r="E17" s="15" t="n"/>
      <c r="F17" s="15" t="n"/>
      <c r="G17" s="15" t="n"/>
      <c r="H17" s="15" t="n"/>
    </row>
    <row r="18">
      <c r="A18" s="5" t="inlineStr">
        <is>
          <t>5. Inventory &amp; COGS</t>
        </is>
      </c>
      <c r="B18" s="5" t="inlineStr">
        <is>
          <t>Review stock roll-forward by manufacturing/grocery category; reconcile to subledger and GL.</t>
        </is>
      </c>
      <c r="C18" s="15" t="n"/>
      <c r="D18" s="15" t="n"/>
      <c r="E18" s="15" t="n"/>
      <c r="F18" s="15" t="n"/>
      <c r="G18" s="15" t="n"/>
      <c r="H18" s="15" t="n"/>
    </row>
    <row r="19">
      <c r="A19" s="5" t="inlineStr">
        <is>
          <t>6. Fixed Assets</t>
        </is>
      </c>
      <c r="B19" s="5" t="inlineStr">
        <is>
          <t>Review monthly depreciation and net book value; assumptions are simplified and must align to policy.</t>
        </is>
      </c>
      <c r="C19" s="15" t="n"/>
      <c r="D19" s="15" t="n"/>
      <c r="E19" s="15" t="n"/>
      <c r="F19" s="15" t="n"/>
      <c r="G19" s="15" t="n"/>
      <c r="H19" s="15" t="n"/>
    </row>
    <row r="20">
      <c r="A20" s="5" t="inlineStr">
        <is>
          <t>7. CAPEX Analysis</t>
        </is>
      </c>
      <c r="B20" s="5" t="inlineStr">
        <is>
          <t>Track approved budget, actuals, commitments, forecast remaining and utilisation.</t>
        </is>
      </c>
      <c r="C20" s="15" t="n"/>
      <c r="D20" s="15" t="n"/>
      <c r="E20" s="15" t="n"/>
      <c r="F20" s="15" t="n"/>
      <c r="G20" s="15" t="n"/>
      <c r="H20" s="15" t="n"/>
    </row>
    <row r="21">
      <c r="A21" s="5" t="inlineStr">
        <is>
          <t>8. Close Checklist</t>
        </is>
      </c>
      <c r="B21" s="5" t="inlineStr">
        <is>
          <t>Use owners, due dates, evidence and status to manage a controlled close.</t>
        </is>
      </c>
      <c r="C21" s="15" t="n"/>
      <c r="D21" s="15" t="n"/>
      <c r="E21" s="15" t="n"/>
      <c r="F21" s="15" t="n"/>
      <c r="G21" s="15" t="n"/>
      <c r="H21" s="15" t="n"/>
    </row>
    <row r="22">
      <c r="A22" s="5" t="inlineStr">
        <is>
          <t>9. Journal Register</t>
        </is>
      </c>
      <c r="B22" s="5" t="inlineStr">
        <is>
          <t>Review balanced illustrative journals; posting requires approval and source evidence.</t>
        </is>
      </c>
      <c r="C22" s="15" t="n"/>
      <c r="D22" s="15" t="n"/>
      <c r="E22" s="15" t="n"/>
      <c r="F22" s="15" t="n"/>
      <c r="G22" s="15" t="n"/>
      <c r="H22" s="15" t="n"/>
    </row>
    <row r="23">
      <c r="A23" s="5" t="inlineStr">
        <is>
          <t>10. Audit &amp; ABS</t>
        </is>
      </c>
      <c r="B23" s="5" t="inlineStr">
        <is>
          <t>Track evidence requests and validate the applicable ABS survey instructions before any real submission.</t>
        </is>
      </c>
      <c r="C23" s="15" t="n"/>
      <c r="D23" s="15" t="n"/>
      <c r="E23" s="15" t="n"/>
      <c r="F23" s="15" t="n"/>
      <c r="G23" s="15" t="n"/>
      <c r="H23" s="15" t="n"/>
    </row>
    <row r="24">
      <c r="A24" s="5" t="inlineStr">
        <is>
          <t>11. Process Improvement</t>
        </is>
      </c>
      <c r="B24" s="5" t="inlineStr">
        <is>
          <t>Prioritise measurable changes; benefits are hypotheses until baselined and tested.</t>
        </is>
      </c>
      <c r="C24" s="15" t="n"/>
      <c r="D24" s="15" t="n"/>
      <c r="E24" s="15" t="n"/>
      <c r="F24" s="15" t="n"/>
      <c r="G24" s="15" t="n"/>
      <c r="H24" s="15" t="n"/>
    </row>
    <row r="25">
      <c r="A25" s="5" t="inlineStr">
        <is>
          <t>12. PowerBI Data</t>
        </is>
      </c>
      <c r="B25" s="5" t="inlineStr">
        <is>
          <t>Long-format fact table for importing into Power BI; build relationships/measures as described in the guide.</t>
        </is>
      </c>
      <c r="C25" s="15" t="n"/>
      <c r="D25" s="15" t="n"/>
      <c r="E25" s="15" t="n"/>
      <c r="F25" s="15" t="n"/>
      <c r="G25" s="15" t="n"/>
      <c r="H25" s="15" t="n"/>
    </row>
  </sheetData>
  <mergeCells count="16">
    <mergeCell ref="A2:F2"/>
    <mergeCell ref="B14:H14"/>
    <mergeCell ref="B22:H22"/>
    <mergeCell ref="B17:H17"/>
    <mergeCell ref="B18:H18"/>
    <mergeCell ref="B21:H21"/>
    <mergeCell ref="A1:F1"/>
    <mergeCell ref="B24:H24"/>
    <mergeCell ref="B16:H16"/>
    <mergeCell ref="B15:H15"/>
    <mergeCell ref="B25:H25"/>
    <mergeCell ref="A5:H5"/>
    <mergeCell ref="B19:H19"/>
    <mergeCell ref="B20:H20"/>
    <mergeCell ref="A8:H9"/>
    <mergeCell ref="B23:H23"/>
  </mergeCells>
  <pageMargins left="0.75" right="0.75" top="1" bottom="1" header="0.5" footer="0.5"/>
  <pageSetup fitToHeight="0" fitToWidth="1"/>
</worksheet>
</file>

<file path=xl/worksheets/sheet2.xml><?xml version="1.0" encoding="utf-8"?>
<worksheet xmlns="http://schemas.openxmlformats.org/spreadsheetml/2006/main">
  <sheetPr>
    <tabColor rgb="000F6B78"/>
    <outlinePr summaryBelow="1" summaryRight="1"/>
    <pageSetUpPr fitToPage="1"/>
  </sheetPr>
  <dimension ref="A1:F21"/>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18" customWidth="1" min="2" max="2"/>
    <col width="5" customWidth="1" min="3" max="3"/>
    <col width="28" customWidth="1" min="4" max="4"/>
    <col width="18" customWidth="1" min="5" max="5"/>
    <col width="5" customWidth="1" min="6" max="6"/>
  </cols>
  <sheetData>
    <row r="1" ht="28" customHeight="1">
      <c r="A1" s="1" t="inlineStr">
        <is>
          <t>MALTRA FOOD GROCER | FINANCE OPERATIONS DASHBOARD</t>
        </is>
      </c>
    </row>
    <row r="2">
      <c r="A2" s="2" t="inlineStr">
        <is>
          <t>September 2026 | illustrative management view | amounts in AUD</t>
        </is>
      </c>
    </row>
    <row r="4">
      <c r="A4" s="6" t="inlineStr">
        <is>
          <t>Revenue actual</t>
        </is>
      </c>
      <c r="B4" s="7">
        <f>'Monthly P&amp;L'!B9</f>
        <v/>
      </c>
      <c r="D4" s="6" t="inlineStr">
        <is>
          <t>Revenue budget</t>
        </is>
      </c>
      <c r="E4" s="7">
        <f>'Monthly P&amp;L'!C9</f>
        <v/>
      </c>
    </row>
    <row r="7">
      <c r="A7" s="6" t="inlineStr">
        <is>
          <t>EBITDA actual</t>
        </is>
      </c>
      <c r="B7" s="7">
        <f>'Monthly P&amp;L'!L9</f>
        <v/>
      </c>
      <c r="D7" s="6" t="inlineStr">
        <is>
          <t>EBITDA budget</t>
        </is>
      </c>
      <c r="E7" s="7">
        <f>'Monthly P&amp;L'!M9</f>
        <v/>
      </c>
    </row>
    <row r="10">
      <c r="A10" s="6" t="inlineStr">
        <is>
          <t>CAPEX utilisation</t>
        </is>
      </c>
      <c r="B10" s="7">
        <f>'CAPEX Analysis'!H11</f>
        <v/>
      </c>
      <c r="D10" s="6" t="inlineStr">
        <is>
          <t>Fixed asset NBV</t>
        </is>
      </c>
      <c r="E10" s="7">
        <f>'Fixed Assets'!K12</f>
        <v/>
      </c>
    </row>
    <row r="13">
      <c r="A13" s="6" t="inlineStr">
        <is>
          <t>Open / pending reconciliations</t>
        </is>
      </c>
      <c r="B13" s="8">
        <f>COUNTIF('GL Reconciliation'!H5:H10,"&lt;&gt;Reconciled")</f>
        <v/>
      </c>
      <c r="D13" s="6" t="inlineStr">
        <is>
          <t>Close completion</t>
        </is>
      </c>
      <c r="E13" s="9">
        <f>'Close Checklist'!B15</f>
        <v/>
      </c>
    </row>
    <row r="16">
      <c r="A16" s="10" t="inlineStr">
        <is>
          <t>Management focus</t>
        </is>
      </c>
    </row>
    <row r="17">
      <c r="A17" s="3" t="inlineStr">
        <is>
          <t>1. Validate revenue and EBITDA variance drivers by entity; do not infer causes from totals alone.</t>
        </is>
      </c>
    </row>
    <row r="18">
      <c r="A18" s="3" t="inlineStr">
        <is>
          <t>2. Resolve inventory and accrual reconciling items with source evidence before sign-off.</t>
        </is>
      </c>
    </row>
    <row r="19">
      <c r="A19" s="3" t="inlineStr">
        <is>
          <t>3. Investigate the $3,000 intercompany mismatch before consolidation.</t>
        </is>
      </c>
    </row>
    <row r="20">
      <c r="A20" s="3" t="inlineStr">
        <is>
          <t>4. Review CAPEX utilisation and committed spend against approved budgets.</t>
        </is>
      </c>
    </row>
    <row r="21">
      <c r="A21" s="3" t="inlineStr">
        <is>
          <t>5. Complete close tasks with evidence and reviewer approval; no unsupported journals.</t>
        </is>
      </c>
    </row>
  </sheetData>
  <mergeCells count="13">
    <mergeCell ref="A2:F2"/>
    <mergeCell ref="E4:F4"/>
    <mergeCell ref="B7:C7"/>
    <mergeCell ref="A19:F19"/>
    <mergeCell ref="E7:F7"/>
    <mergeCell ref="E10:F10"/>
    <mergeCell ref="A1:F1"/>
    <mergeCell ref="B10:C10"/>
    <mergeCell ref="A17:F17"/>
    <mergeCell ref="A18:F18"/>
    <mergeCell ref="A20:F20"/>
    <mergeCell ref="A21:F21"/>
    <mergeCell ref="B4:C4"/>
  </mergeCells>
  <pageMargins left="0.75" right="0.75" top="1" bottom="1" header="0.5" footer="0.5"/>
  <pageSetup fitToHeight="0" fitToWidth="1"/>
</worksheet>
</file>

<file path=xl/worksheets/sheet3.xml><?xml version="1.0" encoding="utf-8"?>
<worksheet xmlns="http://schemas.openxmlformats.org/spreadsheetml/2006/main">
  <sheetPr>
    <tabColor rgb="001F4E78"/>
    <outlinePr summaryBelow="1" summaryRight="1"/>
    <pageSetUpPr fitToPage="1"/>
  </sheetPr>
  <dimension ref="A1:O16"/>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5" customWidth="1" min="2" max="2"/>
    <col width="15" customWidth="1" min="3" max="3"/>
    <col width="15" customWidth="1" min="4" max="4"/>
    <col width="13" customWidth="1" min="5" max="5"/>
    <col width="15" customWidth="1" min="6" max="6"/>
    <col width="15" customWidth="1" min="7" max="7"/>
    <col width="15" customWidth="1" min="8" max="8"/>
    <col width="15" customWidth="1" min="9" max="9"/>
    <col width="15" customWidth="1" min="10" max="10"/>
    <col width="15" customWidth="1" min="11" max="11"/>
    <col width="16" customWidth="1" min="12" max="12"/>
    <col width="16" customWidth="1" min="13" max="13"/>
    <col width="15" customWidth="1" min="14" max="14"/>
    <col width="14" customWidth="1" min="15" max="15"/>
  </cols>
  <sheetData>
    <row r="1" ht="28" customHeight="1">
      <c r="A1" s="1" t="inlineStr">
        <is>
          <t>MONTHLY P&amp;L | ACTUAL VS BUDGET</t>
        </is>
      </c>
    </row>
    <row r="2">
      <c r="A2" s="2" t="inlineStr">
        <is>
          <t>September 2026 | fictional multi-entity consumer goods group | AUD | management view before any consolidation eliminations</t>
        </is>
      </c>
    </row>
    <row r="4" ht="30" customHeight="1">
      <c r="A4" s="4" t="inlineStr">
        <is>
          <t>Entity</t>
        </is>
      </c>
      <c r="B4" s="4" t="inlineStr">
        <is>
          <t>Revenue Actual</t>
        </is>
      </c>
      <c r="C4" s="4" t="inlineStr">
        <is>
          <t>Revenue Budget</t>
        </is>
      </c>
      <c r="D4" s="4" t="inlineStr">
        <is>
          <t>Revenue Var</t>
        </is>
      </c>
      <c r="E4" s="4" t="inlineStr">
        <is>
          <t>Revenue Var %</t>
        </is>
      </c>
      <c r="F4" s="4" t="inlineStr">
        <is>
          <t>COGS Actual</t>
        </is>
      </c>
      <c r="G4" s="4" t="inlineStr">
        <is>
          <t>COGS Budget</t>
        </is>
      </c>
      <c r="H4" s="4" t="inlineStr">
        <is>
          <t>COGS Var</t>
        </is>
      </c>
      <c r="I4" s="4" t="inlineStr">
        <is>
          <t>Opex Actual</t>
        </is>
      </c>
      <c r="J4" s="4" t="inlineStr">
        <is>
          <t>Opex Budget</t>
        </is>
      </c>
      <c r="K4" s="4" t="inlineStr">
        <is>
          <t>Opex Var</t>
        </is>
      </c>
      <c r="L4" s="4" t="inlineStr">
        <is>
          <t>EBITDA Actual</t>
        </is>
      </c>
      <c r="M4" s="4" t="inlineStr">
        <is>
          <t>EBITDA Budget</t>
        </is>
      </c>
      <c r="N4" s="4" t="inlineStr">
        <is>
          <t>EBITDA Var</t>
        </is>
      </c>
      <c r="O4" s="4" t="inlineStr">
        <is>
          <t>EBITDA Margin</t>
        </is>
      </c>
    </row>
    <row r="5">
      <c r="A5" s="5" t="inlineStr">
        <is>
          <t>VIC Manufacturing</t>
        </is>
      </c>
      <c r="B5" s="11" t="n">
        <v>2450000</v>
      </c>
      <c r="C5" s="11" t="n">
        <v>2380000</v>
      </c>
      <c r="D5" s="11">
        <f>B5-C5</f>
        <v/>
      </c>
      <c r="E5" s="12">
        <f>IFERROR(D5/C5,0)</f>
        <v/>
      </c>
      <c r="F5" s="11" t="n">
        <v>1470000</v>
      </c>
      <c r="G5" s="11" t="n">
        <v>1428000</v>
      </c>
      <c r="H5" s="11">
        <f>F5-G5</f>
        <v/>
      </c>
      <c r="I5" s="11" t="n">
        <v>510000</v>
      </c>
      <c r="J5" s="11" t="n">
        <v>495000</v>
      </c>
      <c r="K5" s="11">
        <f>I5-J5</f>
        <v/>
      </c>
      <c r="L5" s="11">
        <f>B5-F5-I5</f>
        <v/>
      </c>
      <c r="M5" s="11">
        <f>C5-G5-J5</f>
        <v/>
      </c>
      <c r="N5" s="11">
        <f>L5-M5</f>
        <v/>
      </c>
      <c r="O5" s="12">
        <f>IFERROR(L5/B5,0)</f>
        <v/>
      </c>
    </row>
    <row r="6">
      <c r="A6" s="5" t="inlineStr">
        <is>
          <t>NSW Distribution</t>
        </is>
      </c>
      <c r="B6" s="11" t="n">
        <v>1280000</v>
      </c>
      <c r="C6" s="11" t="n">
        <v>1320000</v>
      </c>
      <c r="D6" s="11">
        <f>B6-C6</f>
        <v/>
      </c>
      <c r="E6" s="12">
        <f>IFERROR(D6/C6,0)</f>
        <v/>
      </c>
      <c r="F6" s="11" t="n">
        <v>806000</v>
      </c>
      <c r="G6" s="11" t="n">
        <v>831600</v>
      </c>
      <c r="H6" s="11">
        <f>F6-G6</f>
        <v/>
      </c>
      <c r="I6" s="11" t="n">
        <v>284000</v>
      </c>
      <c r="J6" s="11" t="n">
        <v>290000</v>
      </c>
      <c r="K6" s="11">
        <f>I6-J6</f>
        <v/>
      </c>
      <c r="L6" s="11">
        <f>B6-F6-I6</f>
        <v/>
      </c>
      <c r="M6" s="11">
        <f>C6-G6-J6</f>
        <v/>
      </c>
      <c r="N6" s="11">
        <f>L6-M6</f>
        <v/>
      </c>
      <c r="O6" s="12">
        <f>IFERROR(L6/B6,0)</f>
        <v/>
      </c>
    </row>
    <row r="7">
      <c r="A7" s="5" t="inlineStr">
        <is>
          <t>QLD Sales &amp; Distribution</t>
        </is>
      </c>
      <c r="B7" s="11" t="n">
        <v>940000</v>
      </c>
      <c r="C7" s="11" t="n">
        <v>900000</v>
      </c>
      <c r="D7" s="11">
        <f>B7-C7</f>
        <v/>
      </c>
      <c r="E7" s="12">
        <f>IFERROR(D7/C7,0)</f>
        <v/>
      </c>
      <c r="F7" s="11" t="n">
        <v>611000</v>
      </c>
      <c r="G7" s="11" t="n">
        <v>585000</v>
      </c>
      <c r="H7" s="11">
        <f>F7-G7</f>
        <v/>
      </c>
      <c r="I7" s="11" t="n">
        <v>205000</v>
      </c>
      <c r="J7" s="11" t="n">
        <v>198000</v>
      </c>
      <c r="K7" s="11">
        <f>I7-J7</f>
        <v/>
      </c>
      <c r="L7" s="11">
        <f>B7-F7-I7</f>
        <v/>
      </c>
      <c r="M7" s="11">
        <f>C7-G7-J7</f>
        <v/>
      </c>
      <c r="N7" s="11">
        <f>L7-M7</f>
        <v/>
      </c>
      <c r="O7" s="12">
        <f>IFERROR(L7/B7,0)</f>
        <v/>
      </c>
    </row>
    <row r="8">
      <c r="A8" s="5" t="inlineStr">
        <is>
          <t>Group Head Office</t>
        </is>
      </c>
      <c r="B8" s="11" t="n">
        <v>120000</v>
      </c>
      <c r="C8" s="11" t="n">
        <v>100000</v>
      </c>
      <c r="D8" s="11">
        <f>B8-C8</f>
        <v/>
      </c>
      <c r="E8" s="12">
        <f>IFERROR(D8/C8,0)</f>
        <v/>
      </c>
      <c r="F8" s="11" t="n">
        <v>0</v>
      </c>
      <c r="G8" s="11" t="n">
        <v>0</v>
      </c>
      <c r="H8" s="11">
        <f>F8-G8</f>
        <v/>
      </c>
      <c r="I8" s="11" t="n">
        <v>365000</v>
      </c>
      <c r="J8" s="11" t="n">
        <v>350000</v>
      </c>
      <c r="K8" s="11">
        <f>I8-J8</f>
        <v/>
      </c>
      <c r="L8" s="11">
        <f>B8-F8-I8</f>
        <v/>
      </c>
      <c r="M8" s="11">
        <f>C8-G8-J8</f>
        <v/>
      </c>
      <c r="N8" s="11">
        <f>L8-M8</f>
        <v/>
      </c>
      <c r="O8" s="12">
        <f>IFERROR(L8/B8,0)</f>
        <v/>
      </c>
    </row>
    <row r="9">
      <c r="A9" s="5" t="inlineStr">
        <is>
          <t>Group total (pre-elimination)</t>
        </is>
      </c>
      <c r="B9" s="11">
        <f>SUM(B5:B8)</f>
        <v/>
      </c>
      <c r="C9" s="11">
        <f>SUM(C5:C8)</f>
        <v/>
      </c>
      <c r="D9" s="11">
        <f>SUM(D5:D8)</f>
        <v/>
      </c>
      <c r="E9" s="12">
        <f>IFERROR(D9/C9,0)</f>
        <v/>
      </c>
      <c r="F9" s="11">
        <f>SUM(F5:F8)</f>
        <v/>
      </c>
      <c r="G9" s="11">
        <f>SUM(G5:G8)</f>
        <v/>
      </c>
      <c r="H9" s="11">
        <f>SUM(H5:H8)</f>
        <v/>
      </c>
      <c r="I9" s="11">
        <f>SUM(I5:I8)</f>
        <v/>
      </c>
      <c r="J9" s="11">
        <f>SUM(J5:J8)</f>
        <v/>
      </c>
      <c r="K9" s="11">
        <f>SUM(K5:K8)</f>
        <v/>
      </c>
      <c r="L9" s="11">
        <f>SUM(L5:L8)</f>
        <v/>
      </c>
      <c r="M9" s="11">
        <f>SUM(M5:M8)</f>
        <v/>
      </c>
      <c r="N9" s="11">
        <f>SUM(N5:N8)</f>
        <v/>
      </c>
      <c r="O9" s="12">
        <f>IFERROR(L9/B9,0)</f>
        <v/>
      </c>
    </row>
    <row r="10">
      <c r="A10" s="5" t="n"/>
      <c r="B10" s="5" t="n"/>
      <c r="C10" s="5" t="n"/>
      <c r="D10" s="5" t="n"/>
      <c r="E10" s="5" t="n"/>
      <c r="F10" s="5" t="n"/>
      <c r="G10" s="5" t="n"/>
      <c r="H10" s="5" t="n"/>
      <c r="I10" s="5" t="n"/>
      <c r="J10" s="5" t="n"/>
      <c r="K10" s="5" t="n"/>
      <c r="L10" s="5" t="n"/>
      <c r="M10" s="5" t="n"/>
      <c r="N10" s="5" t="n"/>
      <c r="O10" s="5" t="n"/>
    </row>
    <row r="11">
      <c r="A11" s="5" t="n"/>
      <c r="B11" s="5" t="n"/>
      <c r="C11" s="5" t="n"/>
      <c r="D11" s="5" t="n"/>
      <c r="E11" s="5" t="n"/>
      <c r="F11" s="5" t="n"/>
      <c r="G11" s="5" t="n"/>
      <c r="H11" s="5" t="n"/>
      <c r="I11" s="5" t="n"/>
      <c r="J11" s="5" t="n"/>
      <c r="K11" s="5" t="n"/>
      <c r="L11" s="5" t="n"/>
      <c r="M11" s="5" t="n"/>
      <c r="N11" s="5" t="n"/>
      <c r="O11" s="5" t="n"/>
    </row>
    <row r="12" ht="30" customHeight="1">
      <c r="A12" s="4" t="inlineStr">
        <is>
          <t>Metric</t>
        </is>
      </c>
      <c r="B12" s="4" t="inlineStr">
        <is>
          <t>Actual</t>
        </is>
      </c>
      <c r="C12" s="4" t="inlineStr">
        <is>
          <t>Budget</t>
        </is>
      </c>
      <c r="D12" s="4" t="inlineStr">
        <is>
          <t>Variance</t>
        </is>
      </c>
      <c r="E12" s="4" t="inlineStr">
        <is>
          <t>Variance %</t>
        </is>
      </c>
      <c r="F12" s="4" t="inlineStr">
        <is>
          <t>Commentary / investigation</t>
        </is>
      </c>
      <c r="G12" s="4" t="inlineStr">
        <is>
          <t>Owner action</t>
        </is>
      </c>
      <c r="H12" s="5" t="n"/>
      <c r="I12" s="5" t="n"/>
      <c r="J12" s="5" t="n"/>
      <c r="K12" s="5" t="n"/>
      <c r="L12" s="5" t="n"/>
      <c r="M12" s="5" t="n"/>
      <c r="N12" s="5" t="n"/>
      <c r="O12" s="5" t="n"/>
    </row>
    <row r="13">
      <c r="A13" s="5" t="inlineStr">
        <is>
          <t>Revenue</t>
        </is>
      </c>
      <c r="B13" s="11">
        <f>B9</f>
        <v/>
      </c>
      <c r="C13" s="11">
        <f>C9</f>
        <v/>
      </c>
      <c r="D13" s="11">
        <f>B13-C13</f>
        <v/>
      </c>
      <c r="E13" s="12">
        <f>IFERROR(D13/C13,0)</f>
        <v/>
      </c>
      <c r="F13" s="5" t="inlineStr">
        <is>
          <t>Revenue is above budget; validate price, volume, mix, timing and any intercompany revenue before attributing cause.</t>
        </is>
      </c>
      <c r="G13" s="5" t="inlineStr">
        <is>
          <t>Management Accountant: bridge by entity, customer/channel and product category.</t>
        </is>
      </c>
      <c r="H13" s="5" t="n"/>
      <c r="I13" s="5" t="n"/>
      <c r="J13" s="5" t="n"/>
      <c r="K13" s="5" t="n"/>
      <c r="L13" s="5" t="n"/>
      <c r="M13" s="5" t="n"/>
      <c r="N13" s="5" t="n"/>
      <c r="O13" s="5" t="n"/>
    </row>
    <row r="14">
      <c r="A14" s="5" t="inlineStr">
        <is>
          <t>COGS</t>
        </is>
      </c>
      <c r="B14" s="11">
        <f>F9</f>
        <v/>
      </c>
      <c r="C14" s="11">
        <f>G9</f>
        <v/>
      </c>
      <c r="D14" s="11">
        <f>B14-C14</f>
        <v/>
      </c>
      <c r="E14" s="12">
        <f>IFERROR(D14/C14,0)</f>
        <v/>
      </c>
      <c r="F14" s="5" t="inlineStr">
        <is>
          <t>COGS variance is adverse; investigate ingredient/stock costs, production yield, inventory adjustments and cut-off.</t>
        </is>
      </c>
      <c r="G14" s="5" t="inlineStr">
        <is>
          <t>Inventory Finance: reconcile inventory movements and quantify cost/volume drivers.</t>
        </is>
      </c>
      <c r="H14" s="5" t="n"/>
      <c r="I14" s="5" t="n"/>
      <c r="J14" s="5" t="n"/>
      <c r="K14" s="5" t="n"/>
      <c r="L14" s="5" t="n"/>
      <c r="M14" s="5" t="n"/>
      <c r="N14" s="5" t="n"/>
      <c r="O14" s="5" t="n"/>
    </row>
    <row r="15">
      <c r="A15" s="5" t="inlineStr">
        <is>
          <t>Operating expenses</t>
        </is>
      </c>
      <c r="B15" s="11">
        <f>I9</f>
        <v/>
      </c>
      <c r="C15" s="11">
        <f>J9</f>
        <v/>
      </c>
      <c r="D15" s="11">
        <f>B15-C15</f>
        <v/>
      </c>
      <c r="E15" s="12">
        <f>IFERROR(D15/C15,0)</f>
        <v/>
      </c>
      <c r="F15" s="5" t="inlineStr">
        <is>
          <t>Opex variance is adverse; review GL detail, freight, utilities, repairs, labour and timing.</t>
        </is>
      </c>
      <c r="G15" s="5" t="inlineStr">
        <is>
          <t>Financial Accountant: identify top accounts and classify recurring vs one-off.</t>
        </is>
      </c>
      <c r="H15" s="5" t="n"/>
      <c r="I15" s="5" t="n"/>
      <c r="J15" s="5" t="n"/>
      <c r="K15" s="5" t="n"/>
      <c r="L15" s="5" t="n"/>
      <c r="M15" s="5" t="n"/>
      <c r="N15" s="5" t="n"/>
      <c r="O15" s="5" t="n"/>
    </row>
    <row r="16">
      <c r="A16" s="5" t="inlineStr">
        <is>
          <t>EBITDA</t>
        </is>
      </c>
      <c r="B16" s="11">
        <f>L9</f>
        <v/>
      </c>
      <c r="C16" s="11">
        <f>M9</f>
        <v/>
      </c>
      <c r="D16" s="11">
        <f>B16-C16</f>
        <v/>
      </c>
      <c r="E16" s="12">
        <f>IFERROR(D16/C16,0)</f>
        <v/>
      </c>
      <c r="F16" s="5" t="inlineStr">
        <is>
          <t>EBITDA is a management metric and not a substitute for statutory profit or cash flow.</t>
        </is>
      </c>
      <c r="G16" s="5" t="inlineStr">
        <is>
          <t>Financial Controller: review material variances and approve reporting commentary.</t>
        </is>
      </c>
      <c r="H16" s="5" t="n"/>
      <c r="I16" s="5" t="n"/>
      <c r="J16" s="5" t="n"/>
      <c r="K16" s="5" t="n"/>
      <c r="L16" s="5" t="n"/>
      <c r="M16" s="5" t="n"/>
      <c r="N16" s="5" t="n"/>
      <c r="O16" s="5" t="n"/>
    </row>
  </sheetData>
  <autoFilter ref="A4:O8"/>
  <mergeCells count="10">
    <mergeCell ref="A2:F2"/>
    <mergeCell ref="F13"/>
    <mergeCell ref="A1:F1"/>
    <mergeCell ref="F15"/>
    <mergeCell ref="G15"/>
    <mergeCell ref="G16"/>
    <mergeCell ref="F16"/>
    <mergeCell ref="G14"/>
    <mergeCell ref="F14"/>
    <mergeCell ref="G13"/>
  </mergeCells>
  <pageMargins left="0.75" right="0.75" top="1" bottom="1" header="0.5" footer="0.5"/>
  <pageSetup fitToHeight="0" fitToWidth="1"/>
</worksheet>
</file>

<file path=xl/worksheets/sheet4.xml><?xml version="1.0" encoding="utf-8"?>
<worksheet xmlns="http://schemas.openxmlformats.org/spreadsheetml/2006/main">
  <sheetPr>
    <tabColor rgb="001F4E78"/>
    <outlinePr summaryBelow="1" summaryRight="1"/>
    <pageSetUpPr fitToPage="1"/>
  </sheetPr>
  <dimension ref="A1:M14"/>
  <sheetViews>
    <sheetView showGridLines="0" zoomScale="90" workbookViewId="0">
      <pane ySplit="4" topLeftCell="A5" activePane="bottomLeft" state="frozen"/>
      <selection pane="bottomLeft" activeCell="A1" sqref="A1"/>
    </sheetView>
  </sheetViews>
  <sheetFormatPr baseColWidth="8" defaultRowHeight="15"/>
  <cols>
    <col width="23" customWidth="1" min="1" max="1"/>
    <col width="24" customWidth="1" min="2" max="2"/>
    <col width="15" customWidth="1" min="3" max="3"/>
    <col width="16" customWidth="1" min="4" max="4"/>
    <col width="22" customWidth="1" min="5" max="5"/>
    <col width="16" customWidth="1" min="6" max="6"/>
    <col width="18" customWidth="1" min="7" max="7"/>
    <col width="15" customWidth="1" min="8" max="8"/>
    <col width="40" customWidth="1" min="9" max="9"/>
    <col width="42" customWidth="1" min="10" max="10"/>
    <col width="22" customWidth="1" min="11" max="11"/>
    <col width="20" customWidth="1" min="12" max="12"/>
    <col width="18" customWidth="1" min="13" max="13"/>
  </cols>
  <sheetData>
    <row r="1" ht="28" customHeight="1">
      <c r="A1" s="1" t="inlineStr">
        <is>
          <t>BALANCE SHEET RECONCILIATION</t>
        </is>
      </c>
    </row>
    <row r="2">
      <c r="A2" s="2" t="inlineStr">
        <is>
          <t>Illustrative account recs | difference = GL balance less adjusted support | no sign-off while unexplained differences remain</t>
        </is>
      </c>
    </row>
    <row r="4" ht="30" customHeight="1">
      <c r="A4" s="4" t="inlineStr">
        <is>
          <t>Entity</t>
        </is>
      </c>
      <c r="B4" s="4" t="inlineStr">
        <is>
          <t>Account</t>
        </is>
      </c>
      <c r="C4" s="4" t="inlineStr">
        <is>
          <t>GL Balance</t>
        </is>
      </c>
      <c r="D4" s="4" t="inlineStr">
        <is>
          <t>Support Balance</t>
        </is>
      </c>
      <c r="E4" s="4" t="inlineStr">
        <is>
          <t>Known Reconciling Item (+/-)</t>
        </is>
      </c>
      <c r="F4" s="4" t="inlineStr">
        <is>
          <t>Adjusted Support</t>
        </is>
      </c>
      <c r="G4" s="4" t="inlineStr">
        <is>
          <t>Residual Difference</t>
        </is>
      </c>
      <c r="H4" s="4" t="inlineStr">
        <is>
          <t>Status</t>
        </is>
      </c>
      <c r="I4" s="4" t="inlineStr">
        <is>
          <t>Root Cause / Hypothesis</t>
        </is>
      </c>
      <c r="J4" s="4" t="inlineStr">
        <is>
          <t>Proposed Action</t>
        </is>
      </c>
      <c r="K4" s="4" t="inlineStr">
        <is>
          <t>Evidence Ref</t>
        </is>
      </c>
      <c r="L4" s="4" t="inlineStr">
        <is>
          <t>Preparer</t>
        </is>
      </c>
      <c r="M4" s="4" t="inlineStr">
        <is>
          <t>Reviewer Sign-off</t>
        </is>
      </c>
    </row>
    <row r="5">
      <c r="A5" s="5" t="inlineStr">
        <is>
          <t>VIC Manufacturing</t>
        </is>
      </c>
      <c r="B5" s="5" t="inlineStr">
        <is>
          <t>Trade receivables</t>
        </is>
      </c>
      <c r="C5" s="11" t="n">
        <v>482500</v>
      </c>
      <c r="D5" s="11" t="n">
        <v>479800</v>
      </c>
      <c r="E5" s="11" t="n">
        <v>2700</v>
      </c>
      <c r="F5" s="11">
        <f>D5+E5</f>
        <v/>
      </c>
      <c r="G5" s="11">
        <f>C5-F5</f>
        <v/>
      </c>
      <c r="H5" s="5">
        <f>IF(ABS(G5)&gt;=0.01,"Investigate",IF(M5="Approved","Reconciled","Pending review"))</f>
        <v/>
      </c>
      <c r="I5" s="5" t="inlineStr">
        <is>
          <t>Cash receipt may be posted in GL but not allocated in AR subledger.</t>
        </is>
      </c>
      <c r="J5" s="5" t="inlineStr">
        <is>
          <t>Trace receipt to bank, remittance and customer account; post approved allocation if confirmed.</t>
        </is>
      </c>
      <c r="K5" s="5" t="inlineStr">
        <is>
          <t>AR-REC-SEP26-01</t>
        </is>
      </c>
      <c r="L5" s="5" t="inlineStr">
        <is>
          <t>Accountant</t>
        </is>
      </c>
      <c r="M5" s="5" t="inlineStr">
        <is>
          <t>Pending</t>
        </is>
      </c>
    </row>
    <row r="6">
      <c r="A6" s="5" t="inlineStr">
        <is>
          <t>VIC Manufacturing</t>
        </is>
      </c>
      <c r="B6" s="5" t="inlineStr">
        <is>
          <t>Inventory</t>
        </is>
      </c>
      <c r="C6" s="11" t="n">
        <v>735000</v>
      </c>
      <c r="D6" s="11" t="n">
        <v>742500</v>
      </c>
      <c r="E6" s="11" t="n">
        <v>-7500</v>
      </c>
      <c r="F6" s="11">
        <f>D6+E6</f>
        <v/>
      </c>
      <c r="G6" s="11">
        <f>C6-F6</f>
        <v/>
      </c>
      <c r="H6" s="5">
        <f>IF(ABS(G6)&gt;=0.01,"Investigate",IF(M6="Approved","Reconciled","Pending review"))</f>
        <v/>
      </c>
      <c r="I6" s="5" t="inlineStr">
        <is>
          <t>Potential timing/stock adjustment mismatch; not confirmed.</t>
        </is>
      </c>
      <c r="J6" s="5" t="inlineStr">
        <is>
          <t>Tie count adjustment, goods in transit and stock movement cut-off to inventory subledger.</t>
        </is>
      </c>
      <c r="K6" s="5" t="inlineStr">
        <is>
          <t>INV-REC-SEP26-02</t>
        </is>
      </c>
      <c r="L6" s="5" t="inlineStr">
        <is>
          <t>Inventory Accountant</t>
        </is>
      </c>
      <c r="M6" s="5" t="inlineStr">
        <is>
          <t>Pending</t>
        </is>
      </c>
    </row>
    <row r="7">
      <c r="A7" s="5" t="inlineStr">
        <is>
          <t>NSW Distribution</t>
        </is>
      </c>
      <c r="B7" s="5" t="inlineStr">
        <is>
          <t>Trade payables</t>
        </is>
      </c>
      <c r="C7" s="11" t="n">
        <v>-315400</v>
      </c>
      <c r="D7" s="11" t="n">
        <v>-315400</v>
      </c>
      <c r="E7" s="11" t="n">
        <v>0</v>
      </c>
      <c r="F7" s="11">
        <f>D7+E7</f>
        <v/>
      </c>
      <c r="G7" s="11">
        <f>C7-F7</f>
        <v/>
      </c>
      <c r="H7" s="5">
        <f>IF(ABS(G7)&gt;=0.01,"Investigate",IF(M7="Approved","Reconciled","Pending review"))</f>
        <v/>
      </c>
      <c r="I7" s="5" t="inlineStr">
        <is>
          <t>No reconciling item identified in this illustrative example.</t>
        </is>
      </c>
      <c r="J7" s="5" t="inlineStr">
        <is>
          <t>Retain supplier statement and AP ageing; reviewer to verify completeness.</t>
        </is>
      </c>
      <c r="K7" s="5" t="inlineStr">
        <is>
          <t>AP-REC-SEP26-03</t>
        </is>
      </c>
      <c r="L7" s="5" t="inlineStr">
        <is>
          <t>Accountant</t>
        </is>
      </c>
      <c r="M7" s="5" t="inlineStr">
        <is>
          <t>Pending</t>
        </is>
      </c>
    </row>
    <row r="8">
      <c r="A8" s="5" t="inlineStr">
        <is>
          <t>QLD Sales &amp; Distribution</t>
        </is>
      </c>
      <c r="B8" s="5" t="inlineStr">
        <is>
          <t>Bank</t>
        </is>
      </c>
      <c r="C8" s="11" t="n">
        <v>168250</v>
      </c>
      <c r="D8" s="11" t="n">
        <v>168250</v>
      </c>
      <c r="E8" s="11" t="n">
        <v>0</v>
      </c>
      <c r="F8" s="11">
        <f>D8+E8</f>
        <v/>
      </c>
      <c r="G8" s="11">
        <f>C8-F8</f>
        <v/>
      </c>
      <c r="H8" s="5">
        <f>IF(ABS(G8)&gt;=0.01,"Investigate",IF(M8="Approved","Reconciled","Pending review"))</f>
        <v/>
      </c>
      <c r="I8" s="5" t="inlineStr">
        <is>
          <t>No reconciling item identified in this illustrative example.</t>
        </is>
      </c>
      <c r="J8" s="5" t="inlineStr">
        <is>
          <t>Agree bank statement to ledger and verify outstanding items.</t>
        </is>
      </c>
      <c r="K8" s="5" t="inlineStr">
        <is>
          <t>BANK-REC-SEP26-04</t>
        </is>
      </c>
      <c r="L8" s="5" t="inlineStr">
        <is>
          <t>Accountant</t>
        </is>
      </c>
      <c r="M8" s="5" t="inlineStr">
        <is>
          <t>Pending</t>
        </is>
      </c>
    </row>
    <row r="9">
      <c r="A9" s="5" t="inlineStr">
        <is>
          <t>Group Head Office</t>
        </is>
      </c>
      <c r="B9" s="5" t="inlineStr">
        <is>
          <t>Accrued expenses</t>
        </is>
      </c>
      <c r="C9" s="11" t="n">
        <v>-128000</v>
      </c>
      <c r="D9" s="11" t="n">
        <v>-119500</v>
      </c>
      <c r="E9" s="11" t="n">
        <v>-8500</v>
      </c>
      <c r="F9" s="11">
        <f>D9+E9</f>
        <v/>
      </c>
      <c r="G9" s="11">
        <f>C9-F9</f>
        <v/>
      </c>
      <c r="H9" s="5">
        <f>IF(ABS(G9)&gt;=0.01,"Investigate",IF(M9="Approved","Reconciled","Pending review"))</f>
        <v/>
      </c>
      <c r="I9" s="5" t="inlineStr">
        <is>
          <t>Possible missing accrual or sign convention issue; requires source validation.</t>
        </is>
      </c>
      <c r="J9" s="5" t="inlineStr">
        <is>
          <t>Inspect invoices received after close, service periods and prior-month reversals.</t>
        </is>
      </c>
      <c r="K9" s="5" t="inlineStr">
        <is>
          <t>ACCR-SEP26-05</t>
        </is>
      </c>
      <c r="L9" s="5" t="inlineStr">
        <is>
          <t>Financial Accountant</t>
        </is>
      </c>
      <c r="M9" s="5" t="inlineStr">
        <is>
          <t>Pending</t>
        </is>
      </c>
    </row>
    <row r="10">
      <c r="A10" s="5" t="inlineStr">
        <is>
          <t>VIC Manufacturing</t>
        </is>
      </c>
      <c r="B10" s="5" t="inlineStr">
        <is>
          <t>Fixed assets (cost)</t>
        </is>
      </c>
      <c r="C10" s="11" t="n">
        <v>2150000</v>
      </c>
      <c r="D10" s="11" t="n">
        <v>2150000</v>
      </c>
      <c r="E10" s="11" t="n">
        <v>0</v>
      </c>
      <c r="F10" s="11">
        <f>D10+E10</f>
        <v/>
      </c>
      <c r="G10" s="11">
        <f>C10-F10</f>
        <v/>
      </c>
      <c r="H10" s="5">
        <f>IF(ABS(G10)&gt;=0.01,"Investigate",IF(M10="Approved","Reconciled","Pending review"))</f>
        <v/>
      </c>
      <c r="I10" s="5" t="inlineStr">
        <is>
          <t>No reconciling item identified in this illustrative example.</t>
        </is>
      </c>
      <c r="J10" s="5" t="inlineStr">
        <is>
          <t>Tie register additions/disposals to GL and test selected invoices.</t>
        </is>
      </c>
      <c r="K10" s="5" t="inlineStr">
        <is>
          <t>FA-REC-SEP26-06</t>
        </is>
      </c>
      <c r="L10" s="5" t="inlineStr">
        <is>
          <t>Financial Accountant</t>
        </is>
      </c>
      <c r="M10" s="5" t="inlineStr">
        <is>
          <t>Pending</t>
        </is>
      </c>
    </row>
    <row r="11">
      <c r="A11" s="5" t="n"/>
      <c r="B11" s="5" t="n"/>
      <c r="C11" s="5" t="n"/>
      <c r="D11" s="5" t="n"/>
      <c r="E11" s="5" t="n"/>
      <c r="F11" s="5" t="n"/>
      <c r="G11" s="5" t="n"/>
      <c r="H11" s="5" t="n"/>
      <c r="I11" s="5" t="n"/>
      <c r="J11" s="5" t="n"/>
      <c r="K11" s="5" t="n"/>
      <c r="L11" s="5" t="n"/>
      <c r="M11" s="5" t="n"/>
    </row>
    <row r="12" ht="30" customHeight="1">
      <c r="A12" s="4" t="inlineStr">
        <is>
          <t>Control KPI</t>
        </is>
      </c>
      <c r="B12" s="4" t="inlineStr">
        <is>
          <t>Value</t>
        </is>
      </c>
      <c r="C12" s="5" t="n"/>
      <c r="D12" s="5" t="n"/>
      <c r="E12" s="5" t="n"/>
      <c r="F12" s="5" t="n"/>
      <c r="G12" s="5" t="n"/>
      <c r="H12" s="5" t="n"/>
      <c r="I12" s="5" t="n"/>
      <c r="J12" s="5" t="n"/>
      <c r="K12" s="5" t="n"/>
      <c r="L12" s="5" t="n"/>
      <c r="M12" s="5" t="n"/>
    </row>
    <row r="13">
      <c r="A13" s="5" t="inlineStr">
        <is>
          <t>Open / pending reconciliations</t>
        </is>
      </c>
      <c r="B13" s="5">
        <f>COUNTIF(H5:H10,"&lt;&gt;Reconciled")</f>
        <v/>
      </c>
      <c r="C13" s="5" t="n"/>
      <c r="D13" s="5" t="n"/>
      <c r="E13" s="5" t="n"/>
      <c r="F13" s="5" t="n"/>
      <c r="G13" s="5" t="n"/>
      <c r="H13" s="5" t="n"/>
      <c r="I13" s="5" t="n"/>
      <c r="J13" s="5" t="n"/>
      <c r="K13" s="5" t="n"/>
      <c r="L13" s="5" t="n"/>
      <c r="M13" s="5" t="n"/>
    </row>
    <row r="14">
      <c r="A14" s="5" t="inlineStr">
        <is>
          <t>Total absolute residual difference</t>
        </is>
      </c>
      <c r="B14" s="5">
        <f>SUMPRODUCT(ABS(G5:G10))</f>
        <v/>
      </c>
      <c r="C14" s="5" t="n"/>
      <c r="D14" s="5" t="n"/>
      <c r="E14" s="5" t="n"/>
      <c r="F14" s="5" t="n"/>
      <c r="G14" s="5" t="n"/>
      <c r="H14" s="5" t="n"/>
      <c r="I14" s="5" t="n"/>
      <c r="J14" s="5" t="n"/>
      <c r="K14" s="5" t="n"/>
      <c r="L14" s="5" t="n"/>
      <c r="M14" s="5" t="n"/>
    </row>
  </sheetData>
  <autoFilter ref="A4:M10"/>
  <mergeCells count="2">
    <mergeCell ref="A2:F2"/>
    <mergeCell ref="A1:F1"/>
  </mergeCells>
  <conditionalFormatting sqref="H5:H10">
    <cfRule type="cellIs" priority="1" operator="equal" dxfId="0">
      <formula>"Investigate"</formula>
    </cfRule>
  </conditionalFormatting>
  <pageMargins left="0.75" right="0.75" top="1" bottom="1" header="0.5" footer="0.5"/>
  <pageSetup fitToHeight="0" fitToWidth="1"/>
</worksheet>
</file>

<file path=xl/worksheets/sheet5.xml><?xml version="1.0" encoding="utf-8"?>
<worksheet xmlns="http://schemas.openxmlformats.org/spreadsheetml/2006/main">
  <sheetPr>
    <tabColor rgb="001F4E78"/>
    <outlinePr summaryBelow="1" summaryRight="1"/>
    <pageSetUpPr fitToPage="1"/>
  </sheetPr>
  <dimension ref="A1:G7"/>
  <sheetViews>
    <sheetView showGridLines="0" zoomScale="90" workbookViewId="0">
      <pane ySplit="4" topLeftCell="A5" activePane="bottomLeft" state="frozen"/>
      <selection pane="bottomLeft" activeCell="A1" sqref="A1"/>
    </sheetView>
  </sheetViews>
  <sheetFormatPr baseColWidth="8" defaultRowHeight="15"/>
  <cols>
    <col width="32" customWidth="1" min="1" max="1"/>
    <col width="20" customWidth="1" min="2" max="2"/>
    <col width="29" customWidth="1" min="3" max="3"/>
    <col width="18" customWidth="1" min="4" max="4"/>
    <col width="16" customWidth="1" min="5" max="5"/>
    <col width="22" customWidth="1" min="6" max="6"/>
    <col width="65" customWidth="1" min="7" max="7"/>
  </cols>
  <sheetData>
    <row r="1" ht="28" customHeight="1">
      <c r="A1" s="1" t="inlineStr">
        <is>
          <t>INTERCOMPANY BALANCE MATCHING</t>
        </is>
      </c>
    </row>
    <row r="2">
      <c r="A2" s="2" t="inlineStr">
        <is>
          <t>Opposite-sign convention: Entity A balance + Entity B balance should equal zero</t>
        </is>
      </c>
    </row>
    <row r="4" ht="30" customHeight="1">
      <c r="A4" s="4" t="inlineStr">
        <is>
          <t>Counterparty Pair</t>
        </is>
      </c>
      <c r="B4" s="4" t="inlineStr">
        <is>
          <t>Entity A Balance</t>
        </is>
      </c>
      <c r="C4" s="4" t="inlineStr">
        <is>
          <t>Entity B Balance (opposite sign)</t>
        </is>
      </c>
      <c r="D4" s="4" t="inlineStr">
        <is>
          <t>Net Difference</t>
        </is>
      </c>
      <c r="E4" s="4" t="inlineStr">
        <is>
          <t>Status</t>
        </is>
      </c>
      <c r="F4" s="4" t="inlineStr">
        <is>
          <t>Owner</t>
        </is>
      </c>
      <c r="G4" s="4" t="inlineStr">
        <is>
          <t>Action / Evidence</t>
        </is>
      </c>
    </row>
    <row r="5">
      <c r="A5" s="5" t="inlineStr">
        <is>
          <t>Manufacturing ↔ Distribution</t>
        </is>
      </c>
      <c r="B5" s="11" t="n">
        <v>125000</v>
      </c>
      <c r="C5" s="11" t="n">
        <v>-125000</v>
      </c>
      <c r="D5" s="11">
        <f>B5+C5</f>
        <v/>
      </c>
      <c r="E5" s="5">
        <f>IF(ABS(D5)&lt;0.01,"Matched","Investigate")</f>
        <v/>
      </c>
      <c r="F5" s="5" t="inlineStr">
        <is>
          <t>Group Accountant</t>
        </is>
      </c>
      <c r="G5" s="5" t="inlineStr">
        <is>
          <t>Tie to intercompany invoices and confirm both entities posted in the same period.</t>
        </is>
      </c>
    </row>
    <row r="6">
      <c r="A6" s="5" t="inlineStr">
        <is>
          <t>Head Office ↔ Manufacturing</t>
        </is>
      </c>
      <c r="B6" s="11" t="n">
        <v>48000</v>
      </c>
      <c r="C6" s="11" t="n">
        <v>-45000</v>
      </c>
      <c r="D6" s="11">
        <f>B6+C6</f>
        <v/>
      </c>
      <c r="E6" s="5">
        <f>IF(ABS(D6)&lt;0.01,"Matched","Investigate")</f>
        <v/>
      </c>
      <c r="F6" s="5" t="inlineStr">
        <is>
          <t>Financial Accountant</t>
        </is>
      </c>
      <c r="G6" s="5" t="inlineStr">
        <is>
          <t>Investigate $3,000 mismatch: check management-fee journal, period and tax treatment.</t>
        </is>
      </c>
    </row>
    <row r="7">
      <c r="A7" s="5" t="inlineStr">
        <is>
          <t>Distribution ↔ QLD Sales</t>
        </is>
      </c>
      <c r="B7" s="11" t="n">
        <v>-37500</v>
      </c>
      <c r="C7" s="11" t="n">
        <v>37500</v>
      </c>
      <c r="D7" s="11">
        <f>B7+C7</f>
        <v/>
      </c>
      <c r="E7" s="5">
        <f>IF(ABS(D7)&lt;0.01,"Matched","Investigate")</f>
        <v/>
      </c>
      <c r="F7" s="5" t="inlineStr">
        <is>
          <t>Group Accountant</t>
        </is>
      </c>
      <c r="G7" s="5" t="inlineStr">
        <is>
          <t>Confirm sign convention, transfer documentation and matching counterparty ledger.</t>
        </is>
      </c>
    </row>
  </sheetData>
  <mergeCells count="2">
    <mergeCell ref="A2:F2"/>
    <mergeCell ref="A1:F1"/>
  </mergeCells>
  <pageMargins left="0.75" right="0.75" top="1" bottom="1" header="0.5" footer="0.5"/>
  <pageSetup fitToHeight="0" fitToWidth="1"/>
</worksheet>
</file>

<file path=xl/worksheets/sheet6.xml><?xml version="1.0" encoding="utf-8"?>
<worksheet xmlns="http://schemas.openxmlformats.org/spreadsheetml/2006/main">
  <sheetPr>
    <tabColor rgb="001F4E78"/>
    <outlinePr summaryBelow="1" summaryRight="1"/>
    <pageSetUpPr fitToPage="1"/>
  </sheetPr>
  <dimension ref="A1:I17"/>
  <sheetViews>
    <sheetView showGridLines="0" zoomScale="90" workbookViewId="0">
      <pane ySplit="4" topLeftCell="A5" activePane="bottomLeft" state="frozen"/>
      <selection pane="bottomLeft" activeCell="A1" sqref="A1"/>
    </sheetView>
  </sheetViews>
  <sheetFormatPr baseColWidth="8" defaultRowHeight="15"/>
  <cols>
    <col width="28" customWidth="1" min="1" max="1"/>
    <col width="17" customWidth="1" min="2" max="2"/>
    <col width="21" customWidth="1" min="3" max="3"/>
    <col width="18" customWidth="1" min="4" max="4"/>
    <col width="18" customWidth="1" min="5" max="5"/>
    <col width="18" customWidth="1" min="6" max="6"/>
    <col width="18" customWidth="1" min="7" max="7"/>
    <col width="16" customWidth="1" min="8" max="8"/>
    <col width="60" customWidth="1" min="9" max="9"/>
  </cols>
  <sheetData>
    <row r="1" ht="28" customHeight="1">
      <c r="A1" s="1" t="inlineStr">
        <is>
          <t>INVENTORY ROLL-FORWARD &amp; COGS CONTROL</t>
        </is>
      </c>
    </row>
    <row r="2">
      <c r="A2" s="2" t="inlineStr">
        <is>
          <t>September 2026 | illustrative food manufacturing / distribution group | closing roll-forward = opening + purchases/production + transfers</t>
        </is>
      </c>
    </row>
    <row r="4" ht="30" customHeight="1">
      <c r="A4" s="4" t="inlineStr">
        <is>
          <t>Category</t>
        </is>
      </c>
      <c r="B4" s="4" t="inlineStr">
        <is>
          <t>Opening Balance</t>
        </is>
      </c>
      <c r="C4" s="4" t="inlineStr">
        <is>
          <t>Purchases / Production</t>
        </is>
      </c>
      <c r="D4" s="4" t="inlineStr">
        <is>
          <t>Transfers In/(Out)</t>
        </is>
      </c>
      <c r="E4" s="4" t="inlineStr">
        <is>
          <t>Expected Closing</t>
        </is>
      </c>
      <c r="F4" s="4" t="inlineStr">
        <is>
          <t>Subledger Closing</t>
        </is>
      </c>
      <c r="G4" s="4" t="inlineStr">
        <is>
          <t>Residual Difference</t>
        </is>
      </c>
      <c r="H4" s="4" t="inlineStr">
        <is>
          <t>Status</t>
        </is>
      </c>
      <c r="I4" s="4" t="inlineStr">
        <is>
          <t>Investigation Focus</t>
        </is>
      </c>
    </row>
    <row r="5">
      <c r="A5" s="5" t="inlineStr">
        <is>
          <t>Raw materials / ingredients</t>
        </is>
      </c>
      <c r="B5" s="11" t="n">
        <v>215000</v>
      </c>
      <c r="C5" s="11" t="n">
        <v>480000</v>
      </c>
      <c r="D5" s="11" t="n">
        <v>-12000</v>
      </c>
      <c r="E5" s="11">
        <f>B5+C5+D5</f>
        <v/>
      </c>
      <c r="F5" s="11" t="n">
        <v>681500</v>
      </c>
      <c r="G5" s="11">
        <f>E5-F5</f>
        <v/>
      </c>
      <c r="H5" s="5">
        <f>IF(ABS(G5)&lt;0.01,"Reconciled","Investigate")</f>
        <v/>
      </c>
      <c r="I5" s="5" t="inlineStr">
        <is>
          <t>Goods in transit, receipt cut-off, supplier invoice matching</t>
        </is>
      </c>
    </row>
    <row r="6">
      <c r="A6" s="5" t="inlineStr">
        <is>
          <t>Work in progress</t>
        </is>
      </c>
      <c r="B6" s="11" t="n">
        <v>98000</v>
      </c>
      <c r="C6" s="11" t="n">
        <v>365000</v>
      </c>
      <c r="D6" s="11" t="n">
        <v>5000</v>
      </c>
      <c r="E6" s="11">
        <f>B6+C6+D6</f>
        <v/>
      </c>
      <c r="F6" s="11" t="n">
        <v>470000</v>
      </c>
      <c r="G6" s="11">
        <f>E6-F6</f>
        <v/>
      </c>
      <c r="H6" s="5">
        <f>IF(ABS(G6)&lt;0.01,"Reconciled","Investigate")</f>
        <v/>
      </c>
      <c r="I6" s="5" t="inlineStr">
        <is>
          <t>Production orders, yield, labour/overhead absorption and cut-off</t>
        </is>
      </c>
    </row>
    <row r="7">
      <c r="A7" s="5" t="inlineStr">
        <is>
          <t>Finished goods</t>
        </is>
      </c>
      <c r="B7" s="11" t="n">
        <v>425000</v>
      </c>
      <c r="C7" s="11" t="n">
        <v>690000</v>
      </c>
      <c r="D7" s="11" t="n">
        <v>7000</v>
      </c>
      <c r="E7" s="11">
        <f>B7+C7+D7</f>
        <v/>
      </c>
      <c r="F7" s="11" t="n">
        <v>1120000</v>
      </c>
      <c r="G7" s="11">
        <f>E7-F7</f>
        <v/>
      </c>
      <c r="H7" s="5">
        <f>IF(ABS(G7)&lt;0.01,"Reconciled","Investigate")</f>
        <v/>
      </c>
      <c r="I7" s="5" t="inlineStr">
        <is>
          <t>Finished goods dispatches, production completion and stocktake</t>
        </is>
      </c>
    </row>
    <row r="8">
      <c r="A8" s="5" t="inlineStr">
        <is>
          <t>Packaging materials</t>
        </is>
      </c>
      <c r="B8" s="11" t="n">
        <v>74000</v>
      </c>
      <c r="C8" s="11" t="n">
        <v>128000</v>
      </c>
      <c r="D8" s="11" t="n">
        <v>0</v>
      </c>
      <c r="E8" s="11">
        <f>B8+C8+D8</f>
        <v/>
      </c>
      <c r="F8" s="11" t="n">
        <v>202000</v>
      </c>
      <c r="G8" s="11">
        <f>E8-F8</f>
        <v/>
      </c>
      <c r="H8" s="5">
        <f>IF(ABS(G8)&lt;0.01,"Reconciled","Investigate")</f>
        <v/>
      </c>
      <c r="I8" s="5" t="inlineStr">
        <is>
          <t>Packaging issues to production, damaged stock and usage</t>
        </is>
      </c>
    </row>
    <row r="9">
      <c r="A9" s="5" t="inlineStr">
        <is>
          <t>Total inventory</t>
        </is>
      </c>
      <c r="B9" s="11">
        <f>SUM(B5:B8)</f>
        <v/>
      </c>
      <c r="C9" s="11">
        <f>SUM(C5:C8)</f>
        <v/>
      </c>
      <c r="D9" s="11">
        <f>SUM(D5:D8)</f>
        <v/>
      </c>
      <c r="E9" s="11">
        <f>SUM(E5:E8)</f>
        <v/>
      </c>
      <c r="F9" s="11">
        <f>SUM(F5:F8)</f>
        <v/>
      </c>
      <c r="G9" s="11">
        <f>SUM(G5:G8)</f>
        <v/>
      </c>
      <c r="H9" s="5">
        <f>IF(ABS(G9)&lt;0.01,"Reconciled","Investigate")</f>
        <v/>
      </c>
      <c r="I9" s="5" t="inlineStr">
        <is>
          <t>Investigate category differences before posting adjustments.</t>
        </is>
      </c>
    </row>
    <row r="10">
      <c r="A10" s="5" t="n"/>
      <c r="B10" s="5" t="n"/>
      <c r="C10" s="5" t="n"/>
      <c r="D10" s="5" t="n"/>
      <c r="E10" s="5" t="n"/>
      <c r="F10" s="5" t="n"/>
      <c r="G10" s="5" t="n"/>
      <c r="H10" s="5" t="n"/>
      <c r="I10" s="5" t="n"/>
    </row>
    <row r="11">
      <c r="A11" s="5" t="n"/>
      <c r="B11" s="5" t="n"/>
      <c r="C11" s="5" t="n"/>
      <c r="D11" s="5" t="n"/>
      <c r="E11" s="5" t="n"/>
      <c r="F11" s="5" t="n"/>
      <c r="G11" s="5" t="n"/>
      <c r="H11" s="5" t="n"/>
      <c r="I11" s="5" t="n"/>
    </row>
    <row r="12" ht="30" customHeight="1">
      <c r="A12" s="4" t="inlineStr">
        <is>
          <t>COGS bridge component</t>
        </is>
      </c>
      <c r="B12" s="4" t="inlineStr">
        <is>
          <t>Amount</t>
        </is>
      </c>
      <c r="C12" s="4" t="inlineStr">
        <is>
          <t>Control / evidence</t>
        </is>
      </c>
      <c r="D12" s="5" t="n"/>
      <c r="E12" s="5" t="n"/>
      <c r="F12" s="5" t="n"/>
      <c r="G12" s="5" t="n"/>
      <c r="H12" s="5" t="n"/>
      <c r="I12" s="5" t="n"/>
    </row>
    <row r="13">
      <c r="A13" s="5" t="inlineStr">
        <is>
          <t>Opening inventory</t>
        </is>
      </c>
      <c r="B13" s="11">
        <f>B9</f>
        <v/>
      </c>
      <c r="C13" s="5" t="inlineStr">
        <is>
          <t>Agree to prior month signed-off inventory balance.</t>
        </is>
      </c>
      <c r="D13" s="15" t="n"/>
      <c r="E13" s="15" t="n"/>
      <c r="F13" s="15" t="n"/>
      <c r="G13" s="15" t="n"/>
      <c r="H13" s="15" t="n"/>
      <c r="I13" s="15" t="n"/>
    </row>
    <row r="14">
      <c r="A14" s="5" t="inlineStr">
        <is>
          <t>Purchases / production</t>
        </is>
      </c>
      <c r="B14" s="11">
        <f>C9</f>
        <v/>
      </c>
      <c r="C14" s="5" t="inlineStr">
        <is>
          <t>Agree to AP, production costing and receipt records.</t>
        </is>
      </c>
      <c r="D14" s="15" t="n"/>
      <c r="E14" s="15" t="n"/>
      <c r="F14" s="15" t="n"/>
      <c r="G14" s="15" t="n"/>
      <c r="H14" s="15" t="n"/>
      <c r="I14" s="15" t="n"/>
    </row>
    <row r="15">
      <c r="A15" s="5" t="inlineStr">
        <is>
          <t>Transfers net</t>
        </is>
      </c>
      <c r="B15" s="11">
        <f>D9</f>
        <v/>
      </c>
      <c r="C15" s="5" t="inlineStr">
        <is>
          <t>Agree transfer records; eliminate internal movements from group totals where relevant.</t>
        </is>
      </c>
      <c r="D15" s="15" t="n"/>
      <c r="E15" s="15" t="n"/>
      <c r="F15" s="15" t="n"/>
      <c r="G15" s="15" t="n"/>
      <c r="H15" s="15" t="n"/>
      <c r="I15" s="15" t="n"/>
    </row>
    <row r="16">
      <c r="A16" s="5" t="inlineStr">
        <is>
          <t>Less closing inventory</t>
        </is>
      </c>
      <c r="B16" s="11">
        <f>-F9</f>
        <v/>
      </c>
      <c r="C16" s="5" t="inlineStr">
        <is>
          <t>Agree to inventory subledger and valuation support.</t>
        </is>
      </c>
      <c r="D16" s="15" t="n"/>
      <c r="E16" s="15" t="n"/>
      <c r="F16" s="15" t="n"/>
      <c r="G16" s="15" t="n"/>
      <c r="H16" s="15" t="n"/>
      <c r="I16" s="15" t="n"/>
    </row>
    <row r="17">
      <c r="A17" s="5" t="inlineStr">
        <is>
          <t>Indicative COGS bridge</t>
        </is>
      </c>
      <c r="B17" s="11">
        <f>SUM(B13:B16)</f>
        <v/>
      </c>
      <c r="C17" s="5" t="inlineStr">
        <is>
          <t>Bridge is illustrative; reconcile to reported COGS and investigate any residual.</t>
        </is>
      </c>
      <c r="D17" s="15" t="n"/>
      <c r="E17" s="15" t="n"/>
      <c r="F17" s="15" t="n"/>
      <c r="G17" s="15" t="n"/>
      <c r="H17" s="15" t="n"/>
      <c r="I17" s="15" t="n"/>
    </row>
  </sheetData>
  <mergeCells count="7">
    <mergeCell ref="C14:I14"/>
    <mergeCell ref="A2:F2"/>
    <mergeCell ref="C13:I13"/>
    <mergeCell ref="C17:I17"/>
    <mergeCell ref="A1:F1"/>
    <mergeCell ref="C16:I16"/>
    <mergeCell ref="C15:I15"/>
  </mergeCells>
  <pageMargins left="0.75" right="0.75" top="1" bottom="1" header="0.5" footer="0.5"/>
  <pageSetup fitToHeight="0" fitToWidth="1"/>
</worksheet>
</file>

<file path=xl/worksheets/sheet7.xml><?xml version="1.0" encoding="utf-8"?>
<worksheet xmlns="http://schemas.openxmlformats.org/spreadsheetml/2006/main">
  <sheetPr>
    <tabColor rgb="001F4E78"/>
    <outlinePr summaryBelow="1" summaryRight="1"/>
    <pageSetUpPr fitToPage="1"/>
  </sheetPr>
  <dimension ref="A1:L14"/>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24" customWidth="1" min="2" max="2"/>
    <col width="29" customWidth="1" min="3" max="3"/>
    <col width="16" customWidth="1" min="4" max="4"/>
    <col width="15" customWidth="1" min="5" max="5"/>
    <col width="16" customWidth="1" min="6" max="6"/>
    <col width="18" customWidth="1" min="7" max="7"/>
    <col width="22" customWidth="1" min="8" max="8"/>
    <col width="20" customWidth="1" min="9" max="9"/>
    <col width="22" customWidth="1" min="10" max="10"/>
    <col width="17" customWidth="1" min="11" max="11"/>
    <col width="18" customWidth="1" min="12" max="12"/>
  </cols>
  <sheetData>
    <row r="1" ht="28" customHeight="1">
      <c r="A1" s="1" t="inlineStr">
        <is>
          <t>FIXED ASSET REGISTER &amp; DEPRECIATION</t>
        </is>
      </c>
    </row>
    <row r="2">
      <c r="A2" s="2" t="inlineStr">
        <is>
          <t>Illustrative straight-line method; confirm accounting policy, componentisation, commencement convention and impairment requirements</t>
        </is>
      </c>
    </row>
    <row r="4" ht="30" customHeight="1">
      <c r="A4" s="4" t="inlineStr">
        <is>
          <t>Asset ID</t>
        </is>
      </c>
      <c r="B4" s="4" t="inlineStr">
        <is>
          <t>Entity</t>
        </is>
      </c>
      <c r="C4" s="4" t="inlineStr">
        <is>
          <t>Asset Description</t>
        </is>
      </c>
      <c r="D4" s="4" t="inlineStr">
        <is>
          <t>In-Service Date</t>
        </is>
      </c>
      <c r="E4" s="4" t="inlineStr">
        <is>
          <t>Cost</t>
        </is>
      </c>
      <c r="F4" s="4" t="inlineStr">
        <is>
          <t>Residual Value</t>
        </is>
      </c>
      <c r="G4" s="4" t="inlineStr">
        <is>
          <t>Useful Life (Years)</t>
        </is>
      </c>
      <c r="H4" s="4" t="inlineStr">
        <is>
          <t>Monthly Depreciation</t>
        </is>
      </c>
      <c r="I4" s="4" t="inlineStr">
        <is>
          <t>Months Depreciated*</t>
        </is>
      </c>
      <c r="J4" s="4" t="inlineStr">
        <is>
          <t>Accumulated Depreciation</t>
        </is>
      </c>
      <c r="K4" s="4" t="inlineStr">
        <is>
          <t>Net Book Value</t>
        </is>
      </c>
      <c r="L4" s="4" t="inlineStr">
        <is>
          <t>Evidence Ref</t>
        </is>
      </c>
    </row>
    <row r="5">
      <c r="A5" s="5" t="inlineStr">
        <is>
          <t>FA-001</t>
        </is>
      </c>
      <c r="B5" s="5" t="inlineStr">
        <is>
          <t>VIC Manufacturing</t>
        </is>
      </c>
      <c r="C5" s="5" t="inlineStr">
        <is>
          <t>Packaging line</t>
        </is>
      </c>
      <c r="D5" s="16" t="n">
        <v>45474</v>
      </c>
      <c r="E5" s="11" t="n">
        <v>480000</v>
      </c>
      <c r="F5" s="11" t="n">
        <v>20000</v>
      </c>
      <c r="G5" s="5" t="n">
        <v>10</v>
      </c>
      <c r="H5" s="11">
        <f>MAX(0,(E5-F5)/(G5*12))</f>
        <v/>
      </c>
      <c r="I5" s="5">
        <f>MIN(G5*12,MAX(0,(YEAR(DATE(2026,9,30))-YEAR(D5))*12+MONTH(DATE(2026,9,30))-MONTH(D5)))</f>
        <v/>
      </c>
      <c r="J5" s="11">
        <f>MIN(E5-F5,H5*I5)</f>
        <v/>
      </c>
      <c r="K5" s="11">
        <f>MAX(F5,E5-J5)</f>
        <v/>
      </c>
      <c r="L5" s="5" t="inlineStr">
        <is>
          <t>FA-INV-001</t>
        </is>
      </c>
    </row>
    <row r="6">
      <c r="A6" s="5" t="inlineStr">
        <is>
          <t>FA-002</t>
        </is>
      </c>
      <c r="B6" s="5" t="inlineStr">
        <is>
          <t>VIC Manufacturing</t>
        </is>
      </c>
      <c r="C6" s="5" t="inlineStr">
        <is>
          <t>Forklift</t>
        </is>
      </c>
      <c r="D6" s="16" t="n">
        <v>45703</v>
      </c>
      <c r="E6" s="11" t="n">
        <v>65000</v>
      </c>
      <c r="F6" s="11" t="n">
        <v>5000</v>
      </c>
      <c r="G6" s="5" t="n">
        <v>5</v>
      </c>
      <c r="H6" s="11">
        <f>MAX(0,(E6-F6)/(G6*12))</f>
        <v/>
      </c>
      <c r="I6" s="5">
        <f>MIN(G6*12,MAX(0,(YEAR(DATE(2026,9,30))-YEAR(D6))*12+MONTH(DATE(2026,9,30))-MONTH(D6)))</f>
        <v/>
      </c>
      <c r="J6" s="11">
        <f>MIN(E6-F6,H6*I6)</f>
        <v/>
      </c>
      <c r="K6" s="11">
        <f>MAX(F6,E6-J6)</f>
        <v/>
      </c>
      <c r="L6" s="5" t="inlineStr">
        <is>
          <t>FA-INV-002</t>
        </is>
      </c>
    </row>
    <row r="7">
      <c r="A7" s="5" t="inlineStr">
        <is>
          <t>FA-003</t>
        </is>
      </c>
      <c r="B7" s="5" t="inlineStr">
        <is>
          <t>NSW Distribution</t>
        </is>
      </c>
      <c r="C7" s="5" t="inlineStr">
        <is>
          <t>Warehouse racking</t>
        </is>
      </c>
      <c r="D7" s="16" t="n">
        <v>45200</v>
      </c>
      <c r="E7" s="11" t="n">
        <v>210000</v>
      </c>
      <c r="F7" s="11" t="n">
        <v>10000</v>
      </c>
      <c r="G7" s="5" t="n">
        <v>10</v>
      </c>
      <c r="H7" s="11">
        <f>MAX(0,(E7-F7)/(G7*12))</f>
        <v/>
      </c>
      <c r="I7" s="5">
        <f>MIN(G7*12,MAX(0,(YEAR(DATE(2026,9,30))-YEAR(D7))*12+MONTH(DATE(2026,9,30))-MONTH(D7)))</f>
        <v/>
      </c>
      <c r="J7" s="11">
        <f>MIN(E7-F7,H7*I7)</f>
        <v/>
      </c>
      <c r="K7" s="11">
        <f>MAX(F7,E7-J7)</f>
        <v/>
      </c>
      <c r="L7" s="5" t="inlineStr">
        <is>
          <t>FA-INV-003</t>
        </is>
      </c>
    </row>
    <row r="8">
      <c r="A8" s="5" t="inlineStr">
        <is>
          <t>FA-004</t>
        </is>
      </c>
      <c r="B8" s="5" t="inlineStr">
        <is>
          <t>QLD Sales &amp; Distribution</t>
        </is>
      </c>
      <c r="C8" s="5" t="inlineStr">
        <is>
          <t>Delivery vehicle</t>
        </is>
      </c>
      <c r="D8" s="16" t="n">
        <v>45901</v>
      </c>
      <c r="E8" s="11" t="n">
        <v>72000</v>
      </c>
      <c r="F8" s="11" t="n">
        <v>12000</v>
      </c>
      <c r="G8" s="5" t="n">
        <v>5</v>
      </c>
      <c r="H8" s="11">
        <f>MAX(0,(E8-F8)/(G8*12))</f>
        <v/>
      </c>
      <c r="I8" s="5">
        <f>MIN(G8*12,MAX(0,(YEAR(DATE(2026,9,30))-YEAR(D8))*12+MONTH(DATE(2026,9,30))-MONTH(D8)))</f>
        <v/>
      </c>
      <c r="J8" s="11">
        <f>MIN(E8-F8,H8*I8)</f>
        <v/>
      </c>
      <c r="K8" s="11">
        <f>MAX(F8,E8-J8)</f>
        <v/>
      </c>
      <c r="L8" s="5" t="inlineStr">
        <is>
          <t>FA-INV-004</t>
        </is>
      </c>
    </row>
    <row r="9">
      <c r="A9" s="5" t="inlineStr">
        <is>
          <t>FA-005</t>
        </is>
      </c>
      <c r="B9" s="5" t="inlineStr">
        <is>
          <t>VIC Manufacturing</t>
        </is>
      </c>
      <c r="C9" s="5" t="inlineStr">
        <is>
          <t>Quality testing equipment</t>
        </is>
      </c>
      <c r="D9" s="16" t="n">
        <v>46113</v>
      </c>
      <c r="E9" s="11" t="n">
        <v>96000</v>
      </c>
      <c r="F9" s="11" t="n">
        <v>6000</v>
      </c>
      <c r="G9" s="5" t="n">
        <v>8</v>
      </c>
      <c r="H9" s="11">
        <f>MAX(0,(E9-F9)/(G9*12))</f>
        <v/>
      </c>
      <c r="I9" s="5">
        <f>MIN(G9*12,MAX(0,(YEAR(DATE(2026,9,30))-YEAR(D9))*12+MONTH(DATE(2026,9,30))-MONTH(D9)))</f>
        <v/>
      </c>
      <c r="J9" s="11">
        <f>MIN(E9-F9,H9*I9)</f>
        <v/>
      </c>
      <c r="K9" s="11">
        <f>MAX(F9,E9-J9)</f>
        <v/>
      </c>
      <c r="L9" s="5" t="inlineStr">
        <is>
          <t>FA-INV-005</t>
        </is>
      </c>
    </row>
    <row r="10">
      <c r="A10" s="5" t="inlineStr">
        <is>
          <t>FA-006</t>
        </is>
      </c>
      <c r="B10" s="5" t="inlineStr">
        <is>
          <t>NSW Distribution</t>
        </is>
      </c>
      <c r="C10" s="5" t="inlineStr">
        <is>
          <t>Refrigeration unit</t>
        </is>
      </c>
      <c r="D10" s="16" t="n">
        <v>46266</v>
      </c>
      <c r="E10" s="11" t="n">
        <v>144000</v>
      </c>
      <c r="F10" s="11" t="n">
        <v>9000</v>
      </c>
      <c r="G10" s="5" t="n">
        <v>9</v>
      </c>
      <c r="H10" s="11">
        <f>MAX(0,(E10-F10)/(G10*12))</f>
        <v/>
      </c>
      <c r="I10" s="5">
        <f>MIN(G10*12,MAX(0,(YEAR(DATE(2026,9,30))-YEAR(D10))*12+MONTH(DATE(2026,9,30))-MONTH(D10)))</f>
        <v/>
      </c>
      <c r="J10" s="11">
        <f>MIN(E10-F10,H10*I10)</f>
        <v/>
      </c>
      <c r="K10" s="11">
        <f>MAX(F10,E10-J10)</f>
        <v/>
      </c>
      <c r="L10" s="5" t="inlineStr">
        <is>
          <t>FA-INV-006</t>
        </is>
      </c>
    </row>
    <row r="11">
      <c r="A11" s="5" t="n"/>
      <c r="B11" s="5" t="n"/>
      <c r="C11" s="5" t="n"/>
      <c r="D11" s="5" t="n"/>
      <c r="E11" s="11" t="n"/>
      <c r="F11" s="11" t="n"/>
      <c r="G11" s="5" t="n"/>
      <c r="H11" s="11" t="n"/>
      <c r="I11" s="5" t="n"/>
      <c r="J11" s="11" t="n"/>
      <c r="K11" s="11" t="n"/>
      <c r="L11" s="5" t="n"/>
    </row>
    <row r="12">
      <c r="A12" s="5" t="inlineStr">
        <is>
          <t>Portfolio total</t>
        </is>
      </c>
      <c r="B12" s="5" t="n"/>
      <c r="C12" s="5" t="n"/>
      <c r="D12" s="5" t="n"/>
      <c r="E12" s="11">
        <f>SUM(E5:E10)</f>
        <v/>
      </c>
      <c r="F12" s="11" t="n"/>
      <c r="G12" s="5" t="n"/>
      <c r="H12" s="11">
        <f>SUM(H5:H10)</f>
        <v/>
      </c>
      <c r="I12" s="5" t="n"/>
      <c r="J12" s="11">
        <f>SUM(J5:J10)</f>
        <v/>
      </c>
      <c r="K12" s="11">
        <f>SUM(K5:K10)</f>
        <v/>
      </c>
      <c r="L12" s="5" t="n"/>
    </row>
    <row r="14">
      <c r="A14" t="inlineStr">
        <is>
          <t>*Months depreciated</t>
        </is>
      </c>
      <c r="B14" t="inlineStr">
        <is>
          <t>Simplified full-month convention to September 2026; adjust to the entity's approved policy and verify in-service evidence.</t>
        </is>
      </c>
    </row>
  </sheetData>
  <mergeCells count="3">
    <mergeCell ref="B14:L14"/>
    <mergeCell ref="A2:F2"/>
    <mergeCell ref="A1:F1"/>
  </mergeCells>
  <pageMargins left="0.75" right="0.75" top="1" bottom="1" header="0.5" footer="0.5"/>
  <pageSetup fitToHeight="0" fitToWidth="1"/>
</worksheet>
</file>

<file path=xl/worksheets/sheet8.xml><?xml version="1.0" encoding="utf-8"?>
<worksheet xmlns="http://schemas.openxmlformats.org/spreadsheetml/2006/main">
  <sheetPr>
    <tabColor rgb="001F4E78"/>
    <outlinePr summaryBelow="1" summaryRight="1"/>
    <pageSetUpPr fitToPage="1"/>
  </sheetPr>
  <dimension ref="A1:I11"/>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24" customWidth="1" min="2" max="2"/>
    <col width="31" customWidth="1" min="3" max="3"/>
    <col width="18" customWidth="1" min="4" max="4"/>
    <col width="17" customWidth="1" min="5" max="5"/>
    <col width="18" customWidth="1" min="6" max="6"/>
    <col width="20" customWidth="1" min="7" max="7"/>
    <col width="15" customWidth="1" min="8" max="8"/>
    <col width="24" customWidth="1" min="9" max="9"/>
  </cols>
  <sheetData>
    <row r="1" ht="28" customHeight="1">
      <c r="A1" s="1" t="inlineStr">
        <is>
          <t>CAPITAL EXPENDITURE | PROJECT CONTROL</t>
        </is>
      </c>
    </row>
    <row r="2">
      <c r="A2" s="2" t="inlineStr">
        <is>
          <t>Remaining forecast = approved budget - actual spend - committed spend; negative balance flags potential overrun</t>
        </is>
      </c>
    </row>
    <row r="4" ht="30" customHeight="1">
      <c r="A4" s="4" t="inlineStr">
        <is>
          <t>Project ID</t>
        </is>
      </c>
      <c r="B4" s="4" t="inlineStr">
        <is>
          <t>Entity</t>
        </is>
      </c>
      <c r="C4" s="4" t="inlineStr">
        <is>
          <t>Project</t>
        </is>
      </c>
      <c r="D4" s="4" t="inlineStr">
        <is>
          <t>Approved Budget</t>
        </is>
      </c>
      <c r="E4" s="4" t="inlineStr">
        <is>
          <t>Actual Spend</t>
        </is>
      </c>
      <c r="F4" s="4" t="inlineStr">
        <is>
          <t>Committed Spend</t>
        </is>
      </c>
      <c r="G4" s="4" t="inlineStr">
        <is>
          <t>Remaining Forecast</t>
        </is>
      </c>
      <c r="H4" s="4" t="inlineStr">
        <is>
          <t>Utilisation %</t>
        </is>
      </c>
      <c r="I4" s="4" t="inlineStr">
        <is>
          <t>Status / Action</t>
        </is>
      </c>
    </row>
    <row r="5">
      <c r="A5" s="5" t="inlineStr">
        <is>
          <t>CX-101</t>
        </is>
      </c>
      <c r="B5" s="5" t="inlineStr">
        <is>
          <t>VIC Manufacturing</t>
        </is>
      </c>
      <c r="C5" s="5" t="inlineStr">
        <is>
          <t>Packaging line upgrade</t>
        </is>
      </c>
      <c r="D5" s="11" t="n">
        <v>650000</v>
      </c>
      <c r="E5" s="11" t="n">
        <v>410000</v>
      </c>
      <c r="F5" s="11" t="n">
        <v>155000</v>
      </c>
      <c r="G5" s="11">
        <f>D5-E5-F5</f>
        <v/>
      </c>
      <c r="H5" s="12">
        <f>IFERROR((E5+F5)/D5,0)</f>
        <v/>
      </c>
      <c r="I5" s="5">
        <f>IF(G5&lt;0,"Potential overrun",IF(H5&gt;=0.9,"High utilisation","Within budget"))</f>
        <v/>
      </c>
    </row>
    <row r="6">
      <c r="A6" s="5" t="inlineStr">
        <is>
          <t>CX-102</t>
        </is>
      </c>
      <c r="B6" s="5" t="inlineStr">
        <is>
          <t>NSW Distribution</t>
        </is>
      </c>
      <c r="C6" s="5" t="inlineStr">
        <is>
          <t>Warehouse automation</t>
        </is>
      </c>
      <c r="D6" s="11" t="n">
        <v>420000</v>
      </c>
      <c r="E6" s="11" t="n">
        <v>265000</v>
      </c>
      <c r="F6" s="11" t="n">
        <v>90000</v>
      </c>
      <c r="G6" s="11">
        <f>D6-E6-F6</f>
        <v/>
      </c>
      <c r="H6" s="12">
        <f>IFERROR((E6+F6)/D6,0)</f>
        <v/>
      </c>
      <c r="I6" s="5">
        <f>IF(G6&lt;0,"Potential overrun",IF(H6&gt;=0.9,"High utilisation","Within budget"))</f>
        <v/>
      </c>
    </row>
    <row r="7">
      <c r="A7" s="5" t="inlineStr">
        <is>
          <t>CX-103</t>
        </is>
      </c>
      <c r="B7" s="5" t="inlineStr">
        <is>
          <t>QLD Sales &amp; Distribution</t>
        </is>
      </c>
      <c r="C7" s="5" t="inlineStr">
        <is>
          <t>Fleet replacement</t>
        </is>
      </c>
      <c r="D7" s="11" t="n">
        <v>180000</v>
      </c>
      <c r="E7" s="11" t="n">
        <v>132000</v>
      </c>
      <c r="F7" s="11" t="n">
        <v>25000</v>
      </c>
      <c r="G7" s="11">
        <f>D7-E7-F7</f>
        <v/>
      </c>
      <c r="H7" s="12">
        <f>IFERROR((E7+F7)/D7,0)</f>
        <v/>
      </c>
      <c r="I7" s="5">
        <f>IF(G7&lt;0,"Potential overrun",IF(H7&gt;=0.9,"High utilisation","Within budget"))</f>
        <v/>
      </c>
    </row>
    <row r="8">
      <c r="A8" s="5" t="inlineStr">
        <is>
          <t>CX-104</t>
        </is>
      </c>
      <c r="B8" s="5" t="inlineStr">
        <is>
          <t>VIC Manufacturing</t>
        </is>
      </c>
      <c r="C8" s="5" t="inlineStr">
        <is>
          <t>Quality lab equipment</t>
        </is>
      </c>
      <c r="D8" s="11" t="n">
        <v>125000</v>
      </c>
      <c r="E8" s="11" t="n">
        <v>56000</v>
      </c>
      <c r="F8" s="11" t="n">
        <v>32000</v>
      </c>
      <c r="G8" s="11">
        <f>D8-E8-F8</f>
        <v/>
      </c>
      <c r="H8" s="12">
        <f>IFERROR((E8+F8)/D8,0)</f>
        <v/>
      </c>
      <c r="I8" s="5">
        <f>IF(G8&lt;0,"Potential overrun",IF(H8&gt;=0.9,"High utilisation","Within budget"))</f>
        <v/>
      </c>
    </row>
    <row r="9">
      <c r="A9" s="5" t="inlineStr">
        <is>
          <t>CX-105</t>
        </is>
      </c>
      <c r="B9" s="5" t="inlineStr">
        <is>
          <t>Group Head Office</t>
        </is>
      </c>
      <c r="C9" s="5" t="inlineStr">
        <is>
          <t>ERP / finance systems</t>
        </is>
      </c>
      <c r="D9" s="11" t="n">
        <v>300000</v>
      </c>
      <c r="E9" s="11" t="n">
        <v>98000</v>
      </c>
      <c r="F9" s="11" t="n">
        <v>125000</v>
      </c>
      <c r="G9" s="11">
        <f>D9-E9-F9</f>
        <v/>
      </c>
      <c r="H9" s="12">
        <f>IFERROR((E9+F9)/D9,0)</f>
        <v/>
      </c>
      <c r="I9" s="5">
        <f>IF(G9&lt;0,"Potential overrun",IF(H9&gt;=0.9,"High utilisation","Within budget"))</f>
        <v/>
      </c>
    </row>
    <row r="10">
      <c r="A10" s="5" t="inlineStr">
        <is>
          <t>CX-106</t>
        </is>
      </c>
      <c r="B10" s="5" t="inlineStr">
        <is>
          <t>NSW Distribution</t>
        </is>
      </c>
      <c r="C10" s="5" t="inlineStr">
        <is>
          <t>Refrigeration upgrade</t>
        </is>
      </c>
      <c r="D10" s="11" t="n">
        <v>240000</v>
      </c>
      <c r="E10" s="11" t="n">
        <v>196000</v>
      </c>
      <c r="F10" s="11" t="n">
        <v>52000</v>
      </c>
      <c r="G10" s="11">
        <f>D10-E10-F10</f>
        <v/>
      </c>
      <c r="H10" s="12">
        <f>IFERROR((E10+F10)/D10,0)</f>
        <v/>
      </c>
      <c r="I10" s="5">
        <f>IF(G10&lt;0,"Potential overrun",IF(H10&gt;=0.9,"High utilisation","Within budget"))</f>
        <v/>
      </c>
    </row>
    <row r="11">
      <c r="A11" s="5" t="inlineStr">
        <is>
          <t>Portfolio total</t>
        </is>
      </c>
      <c r="B11" s="5" t="n"/>
      <c r="C11" s="5" t="n"/>
      <c r="D11" s="11">
        <f>SUM(D5:D10)</f>
        <v/>
      </c>
      <c r="E11" s="11">
        <f>SUM(E5:E10)</f>
        <v/>
      </c>
      <c r="F11" s="11">
        <f>SUM(F5:F10)</f>
        <v/>
      </c>
      <c r="G11" s="11">
        <f>SUM(G5:G10)</f>
        <v/>
      </c>
      <c r="H11" s="12">
        <f>IFERROR((E11+F11)/D11,0)</f>
        <v/>
      </c>
      <c r="I11" s="5">
        <f>IF(G11&lt;0,"Potential overrun","Within total budget")</f>
        <v/>
      </c>
    </row>
  </sheetData>
  <mergeCells count="2">
    <mergeCell ref="A2:F2"/>
    <mergeCell ref="A1:F1"/>
  </mergeCells>
  <pageMargins left="0.75" right="0.75" top="1" bottom="1" header="0.5" footer="0.5"/>
  <pageSetup fitToHeight="0" fitToWidth="1"/>
</worksheet>
</file>

<file path=xl/worksheets/sheet9.xml><?xml version="1.0" encoding="utf-8"?>
<worksheet xmlns="http://schemas.openxmlformats.org/spreadsheetml/2006/main">
  <sheetPr>
    <tabColor rgb="001F4E78"/>
    <outlinePr summaryBelow="1" summaryRight="1"/>
    <pageSetUpPr fitToPage="1"/>
  </sheetPr>
  <dimension ref="A1:G15"/>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42" customWidth="1" min="2" max="2"/>
    <col width="24" customWidth="1" min="3" max="3"/>
    <col width="16" customWidth="1" min="4" max="4"/>
    <col width="16" customWidth="1" min="5" max="5"/>
    <col width="25" customWidth="1" min="6" max="6"/>
    <col width="58" customWidth="1" min="7" max="7"/>
  </cols>
  <sheetData>
    <row r="1" ht="28" customHeight="1">
      <c r="A1" s="1" t="inlineStr">
        <is>
          <t>MONTH-END CLOSE CHECKLIST</t>
        </is>
      </c>
    </row>
    <row r="2">
      <c r="A2" s="2" t="inlineStr">
        <is>
          <t>Proposed seven-business-day close | sample owners, statuses and evidence references; not a real close record</t>
        </is>
      </c>
    </row>
    <row r="4" ht="30" customHeight="1">
      <c r="A4" s="4" t="inlineStr">
        <is>
          <t>Task ID</t>
        </is>
      </c>
      <c r="B4" s="4" t="inlineStr">
        <is>
          <t>Close Activity</t>
        </is>
      </c>
      <c r="C4" s="4" t="inlineStr">
        <is>
          <t>Owner Role</t>
        </is>
      </c>
      <c r="D4" s="4" t="inlineStr">
        <is>
          <t>Due Date</t>
        </is>
      </c>
      <c r="E4" s="4" t="inlineStr">
        <is>
          <t>Status</t>
        </is>
      </c>
      <c r="F4" s="4" t="inlineStr">
        <is>
          <t>Evidence / Reference</t>
        </is>
      </c>
      <c r="G4" s="4" t="inlineStr">
        <is>
          <t>Reviewer Notes</t>
        </is>
      </c>
    </row>
    <row r="5">
      <c r="A5" s="5" t="inlineStr">
        <is>
          <t>MC-01</t>
        </is>
      </c>
      <c r="B5" s="5" t="inlineStr">
        <is>
          <t>Post recurring journals</t>
        </is>
      </c>
      <c r="C5" s="5" t="inlineStr">
        <is>
          <t>Financial Accountant</t>
        </is>
      </c>
      <c r="D5" s="16" t="n">
        <v>46297</v>
      </c>
      <c r="E5" s="5" t="inlineStr">
        <is>
          <t>Complete</t>
        </is>
      </c>
      <c r="F5" s="5" t="inlineStr">
        <is>
          <t>JE-SEP26-001</t>
        </is>
      </c>
      <c r="G5" s="5" t="inlineStr">
        <is>
          <t>Verify approved support and posting batch.</t>
        </is>
      </c>
    </row>
    <row r="6">
      <c r="A6" s="5" t="inlineStr">
        <is>
          <t>MC-02</t>
        </is>
      </c>
      <c r="B6" s="5" t="inlineStr">
        <is>
          <t>Reconcile bank accounts</t>
        </is>
      </c>
      <c r="C6" s="5" t="inlineStr">
        <is>
          <t>Accountant</t>
        </is>
      </c>
      <c r="D6" s="16" t="n">
        <v>46297</v>
      </c>
      <c r="E6" s="5" t="inlineStr">
        <is>
          <t>Complete</t>
        </is>
      </c>
      <c r="F6" s="5" t="inlineStr">
        <is>
          <t>BANK-REC-SEP26</t>
        </is>
      </c>
      <c r="G6" s="5" t="inlineStr">
        <is>
          <t>Agree statement, outstanding items and GL.</t>
        </is>
      </c>
    </row>
    <row r="7">
      <c r="A7" s="5" t="inlineStr">
        <is>
          <t>MC-03</t>
        </is>
      </c>
      <c r="B7" s="5" t="inlineStr">
        <is>
          <t>Reconcile AR and AP control accounts</t>
        </is>
      </c>
      <c r="C7" s="5" t="inlineStr">
        <is>
          <t>Accountant</t>
        </is>
      </c>
      <c r="D7" s="16" t="n">
        <v>46298</v>
      </c>
      <c r="E7" s="5" t="inlineStr">
        <is>
          <t>In progress</t>
        </is>
      </c>
      <c r="F7" s="5" t="inlineStr">
        <is>
          <t>AR-AP-SEP26</t>
        </is>
      </c>
      <c r="G7" s="5" t="inlineStr">
        <is>
          <t>Clear material reconciling items; confirm ageing agrees to GL.</t>
        </is>
      </c>
    </row>
    <row r="8">
      <c r="A8" s="5" t="inlineStr">
        <is>
          <t>MC-04</t>
        </is>
      </c>
      <c r="B8" s="5" t="inlineStr">
        <is>
          <t>Review inventory valuation and cut-off</t>
        </is>
      </c>
      <c r="C8" s="5" t="inlineStr">
        <is>
          <t>Inventory Accountant</t>
        </is>
      </c>
      <c r="D8" s="16" t="n">
        <v>46299</v>
      </c>
      <c r="E8" s="5" t="inlineStr">
        <is>
          <t>Not started</t>
        </is>
      </c>
      <c r="F8" s="5" t="inlineStr">
        <is>
          <t>INV-ROLLFWD-SEP26</t>
        </is>
      </c>
      <c r="G8" s="5" t="inlineStr">
        <is>
          <t>Tie subledger to GL; review damaged/obsolete stock.</t>
        </is>
      </c>
    </row>
    <row r="9">
      <c r="A9" s="5" t="inlineStr">
        <is>
          <t>MC-05</t>
        </is>
      </c>
      <c r="B9" s="5" t="inlineStr">
        <is>
          <t>Update fixed asset register and depreciation</t>
        </is>
      </c>
      <c r="C9" s="5" t="inlineStr">
        <is>
          <t>Financial Accountant</t>
        </is>
      </c>
      <c r="D9" s="16" t="n">
        <v>46299</v>
      </c>
      <c r="E9" s="5" t="inlineStr">
        <is>
          <t>In progress</t>
        </is>
      </c>
      <c r="F9" s="5" t="inlineStr">
        <is>
          <t>FA-REG-SEP26</t>
        </is>
      </c>
      <c r="G9" s="5" t="inlineStr">
        <is>
          <t>Review additions, disposals, useful lives and in-service dates.</t>
        </is>
      </c>
    </row>
    <row r="10">
      <c r="A10" s="5" t="inlineStr">
        <is>
          <t>MC-06</t>
        </is>
      </c>
      <c r="B10" s="5" t="inlineStr">
        <is>
          <t>Review accruals and prepayments</t>
        </is>
      </c>
      <c r="C10" s="5" t="inlineStr">
        <is>
          <t>Financial Accountant</t>
        </is>
      </c>
      <c r="D10" s="16" t="n">
        <v>46300</v>
      </c>
      <c r="E10" s="5" t="inlineStr">
        <is>
          <t>Not started</t>
        </is>
      </c>
      <c r="F10" s="5" t="inlineStr">
        <is>
          <t>ACCR-PREPAY-SEP26</t>
        </is>
      </c>
      <c r="G10" s="5" t="inlineStr">
        <is>
          <t>Check completeness, service periods and reversals.</t>
        </is>
      </c>
    </row>
    <row r="11">
      <c r="A11" s="5" t="inlineStr">
        <is>
          <t>MC-07</t>
        </is>
      </c>
      <c r="B11" s="5" t="inlineStr">
        <is>
          <t>Prepare entity P&amp;L and variance commentary</t>
        </is>
      </c>
      <c r="C11" s="5" t="inlineStr">
        <is>
          <t>Management Accountant</t>
        </is>
      </c>
      <c r="D11" s="16" t="n">
        <v>46301</v>
      </c>
      <c r="E11" s="5" t="inlineStr">
        <is>
          <t>Not started</t>
        </is>
      </c>
      <c r="F11" s="5" t="inlineStr">
        <is>
          <t>P&amp;L-SEP26</t>
        </is>
      </c>
      <c r="G11" s="5" t="inlineStr">
        <is>
          <t>Explain material variances using ledger and operational evidence.</t>
        </is>
      </c>
    </row>
    <row r="12">
      <c r="A12" s="5" t="inlineStr">
        <is>
          <t>MC-08</t>
        </is>
      </c>
      <c r="B12" s="5" t="inlineStr">
        <is>
          <t>Review intercompany and consolidation entries</t>
        </is>
      </c>
      <c r="C12" s="5" t="inlineStr">
        <is>
          <t>Group Accountant</t>
        </is>
      </c>
      <c r="D12" s="16" t="n">
        <v>46301</v>
      </c>
      <c r="E12" s="5" t="inlineStr">
        <is>
          <t>Not started</t>
        </is>
      </c>
      <c r="F12" s="5" t="inlineStr">
        <is>
          <t>IC-SEP26</t>
        </is>
      </c>
      <c r="G12" s="5" t="inlineStr">
        <is>
          <t>Agree counterparties and document eliminations.</t>
        </is>
      </c>
    </row>
    <row r="13">
      <c r="A13" s="5" t="inlineStr">
        <is>
          <t>MC-09</t>
        </is>
      </c>
      <c r="B13" s="5" t="inlineStr">
        <is>
          <t>Financial Controller review and sign-off</t>
        </is>
      </c>
      <c r="C13" s="5" t="inlineStr">
        <is>
          <t>Financial Controller</t>
        </is>
      </c>
      <c r="D13" s="16" t="n">
        <v>46302</v>
      </c>
      <c r="E13" s="5" t="inlineStr">
        <is>
          <t>Not started</t>
        </is>
      </c>
      <c r="F13" s="5" t="inlineStr">
        <is>
          <t>CLOSE-SIGNOFF-SEP26</t>
        </is>
      </c>
      <c r="G13" s="5" t="inlineStr">
        <is>
          <t>Review material estimates, open items and final reporting pack.</t>
        </is>
      </c>
    </row>
    <row r="14">
      <c r="A14" s="5" t="n"/>
      <c r="B14" s="5" t="n"/>
      <c r="C14" s="5" t="n"/>
      <c r="D14" s="5" t="n"/>
      <c r="E14" s="5" t="n"/>
      <c r="F14" s="5" t="n"/>
      <c r="G14" s="5" t="n"/>
    </row>
    <row r="15">
      <c r="A15" s="5" t="inlineStr">
        <is>
          <t>Completion rate</t>
        </is>
      </c>
      <c r="B15" s="14">
        <f>COUNTIF(E5:E13,"Complete")/COUNTA(A5:A13)</f>
        <v/>
      </c>
      <c r="C15" s="5" t="n"/>
      <c r="D15" s="5" t="n"/>
      <c r="E15" s="5" t="n"/>
      <c r="F15" s="5" t="n"/>
      <c r="G15" s="5" t="n"/>
    </row>
  </sheetData>
  <mergeCells count="2">
    <mergeCell ref="A2:F2"/>
    <mergeCell ref="A1:F1"/>
  </mergeCells>
  <pageMargins left="0.75" right="0.75" top="1" bottom="1" header="0.5" footer="0.5"/>
  <pageSetup fitToHeight="0" fitToWidth="1"/>
</worksheet>
</file>

<file path=xl/worksheets/sheet10.xml><?xml version="1.0" encoding="utf-8"?>
<worksheet xmlns="http://schemas.openxmlformats.org/spreadsheetml/2006/main">
  <sheetPr>
    <tabColor rgb="001F4E78"/>
    <outlinePr summaryBelow="1" summaryRight="1"/>
    <pageSetUpPr fitToPage="1"/>
  </sheetPr>
  <dimension ref="A1:J12"/>
  <sheetViews>
    <sheetView showGridLines="0" zoomScale="90" workbookViewId="0">
      <pane ySplit="4" topLeftCell="A5" activePane="bottomLeft" state="frozen"/>
      <selection pane="bottomLeft" activeCell="A1" sqref="A1"/>
    </sheetView>
  </sheetViews>
  <sheetFormatPr baseColWidth="8" defaultRowHeight="15"/>
  <cols>
    <col width="13" customWidth="1" min="1" max="1"/>
    <col width="15" customWidth="1" min="2" max="2"/>
    <col width="24" customWidth="1" min="3" max="3"/>
    <col width="30" customWidth="1" min="4" max="4"/>
    <col width="36" customWidth="1" min="5" max="5"/>
    <col width="15" customWidth="1" min="6" max="6"/>
    <col width="15" customWidth="1" min="7" max="7"/>
    <col width="16" customWidth="1" min="8" max="8"/>
    <col width="65" customWidth="1" min="9" max="9"/>
    <col width="20" customWidth="1" min="10" max="10"/>
  </cols>
  <sheetData>
    <row r="1" ht="28" customHeight="1">
      <c r="A1" s="1" t="inlineStr">
        <is>
          <t>ILLUSTRATIVE JOURNAL REGISTER</t>
        </is>
      </c>
    </row>
    <row r="2">
      <c r="A2" s="2" t="inlineStr">
        <is>
          <t>Balanced sample journals for demonstration only; do not post without source evidence, accounting assessment and approval</t>
        </is>
      </c>
    </row>
    <row r="4" ht="30" customHeight="1">
      <c r="A4" s="4" t="inlineStr">
        <is>
          <t>Journal ID</t>
        </is>
      </c>
      <c r="B4" s="4" t="inlineStr">
        <is>
          <t>Date</t>
        </is>
      </c>
      <c r="C4" s="4" t="inlineStr">
        <is>
          <t>Entity</t>
        </is>
      </c>
      <c r="D4" s="4" t="inlineStr">
        <is>
          <t>Account</t>
        </is>
      </c>
      <c r="E4" s="4" t="inlineStr">
        <is>
          <t>Description</t>
        </is>
      </c>
      <c r="F4" s="4" t="inlineStr">
        <is>
          <t>Debit</t>
        </is>
      </c>
      <c r="G4" s="4" t="inlineStr">
        <is>
          <t>Credit</t>
        </is>
      </c>
      <c r="H4" s="4" t="inlineStr">
        <is>
          <t>Net (Dr-Cr)</t>
        </is>
      </c>
      <c r="I4" s="4" t="inlineStr">
        <is>
          <t>Support / rationale</t>
        </is>
      </c>
      <c r="J4" s="4" t="inlineStr">
        <is>
          <t>Approval Status</t>
        </is>
      </c>
    </row>
    <row r="5">
      <c r="A5" s="5" t="inlineStr">
        <is>
          <t>JE-001</t>
        </is>
      </c>
      <c r="B5" s="16" t="n">
        <v>46295</v>
      </c>
      <c r="C5" s="5" t="inlineStr">
        <is>
          <t>Group Head Office</t>
        </is>
      </c>
      <c r="D5" s="5" t="inlineStr">
        <is>
          <t>Utilities expense</t>
        </is>
      </c>
      <c r="E5" s="5" t="inlineStr">
        <is>
          <t>September utilities accrual</t>
        </is>
      </c>
      <c r="F5" s="11" t="n">
        <v>18500</v>
      </c>
      <c r="G5" s="11" t="n">
        <v>0</v>
      </c>
      <c r="H5" s="11">
        <f>F5-G5</f>
        <v/>
      </c>
      <c r="I5" s="5" t="inlineStr">
        <is>
          <t>Estimate based on supplier/service evidence; reverse next period if policy requires.</t>
        </is>
      </c>
      <c r="J5" s="5" t="inlineStr">
        <is>
          <t>Draft</t>
        </is>
      </c>
    </row>
    <row r="6">
      <c r="A6" s="5" t="inlineStr">
        <is>
          <t>JE-001</t>
        </is>
      </c>
      <c r="B6" s="16" t="n">
        <v>46295</v>
      </c>
      <c r="C6" s="5" t="inlineStr">
        <is>
          <t>Group Head Office</t>
        </is>
      </c>
      <c r="D6" s="5" t="inlineStr">
        <is>
          <t>Accrued expenses</t>
        </is>
      </c>
      <c r="E6" s="5" t="inlineStr">
        <is>
          <t>September utilities accrual</t>
        </is>
      </c>
      <c r="F6" s="11" t="n">
        <v>0</v>
      </c>
      <c r="G6" s="11" t="n">
        <v>18500</v>
      </c>
      <c r="H6" s="11">
        <f>F6-G6</f>
        <v/>
      </c>
      <c r="I6" s="5" t="inlineStr">
        <is>
          <t>Estimate based on supplier/service evidence; reverse next period if policy requires.</t>
        </is>
      </c>
      <c r="J6" s="5" t="inlineStr">
        <is>
          <t>Draft</t>
        </is>
      </c>
    </row>
    <row r="7">
      <c r="A7" s="5" t="inlineStr">
        <is>
          <t>JE-002</t>
        </is>
      </c>
      <c r="B7" s="16" t="n">
        <v>46295</v>
      </c>
      <c r="C7" s="5" t="inlineStr">
        <is>
          <t>VIC Manufacturing</t>
        </is>
      </c>
      <c r="D7" s="5" t="inlineStr">
        <is>
          <t>Depreciation expense</t>
        </is>
      </c>
      <c r="E7" s="5" t="inlineStr">
        <is>
          <t>Monthly depreciation</t>
        </is>
      </c>
      <c r="F7" s="11" t="n">
        <v>7800</v>
      </c>
      <c r="G7" s="11" t="n">
        <v>0</v>
      </c>
      <c r="H7" s="11">
        <f>F7-G7</f>
        <v/>
      </c>
      <c r="I7" s="5" t="inlineStr">
        <is>
          <t>Tie to approved fixed asset register and depreciation policy.</t>
        </is>
      </c>
      <c r="J7" s="5" t="inlineStr">
        <is>
          <t>Draft</t>
        </is>
      </c>
    </row>
    <row r="8">
      <c r="A8" s="5" t="inlineStr">
        <is>
          <t>JE-002</t>
        </is>
      </c>
      <c r="B8" s="16" t="n">
        <v>46295</v>
      </c>
      <c r="C8" s="5" t="inlineStr">
        <is>
          <t>VIC Manufacturing</t>
        </is>
      </c>
      <c r="D8" s="5" t="inlineStr">
        <is>
          <t>Accumulated depreciation</t>
        </is>
      </c>
      <c r="E8" s="5" t="inlineStr">
        <is>
          <t>Monthly depreciation</t>
        </is>
      </c>
      <c r="F8" s="11" t="n">
        <v>0</v>
      </c>
      <c r="G8" s="11" t="n">
        <v>7800</v>
      </c>
      <c r="H8" s="11">
        <f>F8-G8</f>
        <v/>
      </c>
      <c r="I8" s="5" t="inlineStr">
        <is>
          <t>Tie to approved fixed asset register and depreciation policy.</t>
        </is>
      </c>
      <c r="J8" s="5" t="inlineStr">
        <is>
          <t>Draft</t>
        </is>
      </c>
    </row>
    <row r="9">
      <c r="A9" s="5" t="inlineStr">
        <is>
          <t>JE-003</t>
        </is>
      </c>
      <c r="B9" s="16" t="n">
        <v>46295</v>
      </c>
      <c r="C9" s="5" t="inlineStr">
        <is>
          <t>NSW Distribution</t>
        </is>
      </c>
      <c r="D9" s="5" t="inlineStr">
        <is>
          <t>Inventory write-down expense</t>
        </is>
      </c>
      <c r="E9" s="5" t="inlineStr">
        <is>
          <t>Illustrative damaged stock write-down</t>
        </is>
      </c>
      <c r="F9" s="11" t="n">
        <v>6200</v>
      </c>
      <c r="G9" s="11" t="n">
        <v>0</v>
      </c>
      <c r="H9" s="11">
        <f>F9-G9</f>
        <v/>
      </c>
      <c r="I9" s="5" t="inlineStr">
        <is>
          <t>Only post if stocktake/NRV evidence supports adjustment and approval is obtained.</t>
        </is>
      </c>
      <c r="J9" s="5" t="inlineStr">
        <is>
          <t>Pending evidence</t>
        </is>
      </c>
    </row>
    <row r="10">
      <c r="A10" s="5" t="inlineStr">
        <is>
          <t>JE-003</t>
        </is>
      </c>
      <c r="B10" s="16" t="n">
        <v>46295</v>
      </c>
      <c r="C10" s="5" t="inlineStr">
        <is>
          <t>NSW Distribution</t>
        </is>
      </c>
      <c r="D10" s="5" t="inlineStr">
        <is>
          <t>Inventory</t>
        </is>
      </c>
      <c r="E10" s="5" t="inlineStr">
        <is>
          <t>Illustrative damaged stock write-down</t>
        </is>
      </c>
      <c r="F10" s="11" t="n">
        <v>0</v>
      </c>
      <c r="G10" s="11" t="n">
        <v>6200</v>
      </c>
      <c r="H10" s="11">
        <f>F10-G10</f>
        <v/>
      </c>
      <c r="I10" s="5" t="inlineStr">
        <is>
          <t>Only post if stocktake/NRV evidence supports adjustment and approval is obtained.</t>
        </is>
      </c>
      <c r="J10" s="5" t="inlineStr">
        <is>
          <t>Pending evidence</t>
        </is>
      </c>
    </row>
    <row r="11">
      <c r="A11" s="5" t="n"/>
      <c r="B11" s="5" t="n"/>
      <c r="C11" s="5" t="n"/>
      <c r="D11" s="5" t="n"/>
      <c r="E11" s="5" t="n"/>
      <c r="F11" s="11" t="n"/>
      <c r="G11" s="11" t="n"/>
      <c r="H11" s="11" t="n"/>
      <c r="I11" s="5" t="n"/>
      <c r="J11" s="5" t="n"/>
    </row>
    <row r="12">
      <c r="A12" s="5" t="inlineStr">
        <is>
          <t>Journal control</t>
        </is>
      </c>
      <c r="B12" s="5" t="inlineStr">
        <is>
          <t>Total debits</t>
        </is>
      </c>
      <c r="C12" s="5">
        <f>SUM(F5:F10)</f>
        <v/>
      </c>
      <c r="D12" s="5" t="inlineStr">
        <is>
          <t>Total credits</t>
        </is>
      </c>
      <c r="E12" s="5">
        <f>SUM(G5:G10)</f>
        <v/>
      </c>
      <c r="F12" s="11" t="inlineStr">
        <is>
          <t>Net difference</t>
        </is>
      </c>
      <c r="G12" s="11">
        <f>C12-E12</f>
        <v/>
      </c>
      <c r="H12" s="11" t="n"/>
      <c r="I12" s="5" t="n"/>
      <c r="J12" s="5" t="n"/>
    </row>
  </sheetData>
  <mergeCells count="2">
    <mergeCell ref="A2:F2"/>
    <mergeCell ref="A1:F1"/>
  </mergeCells>
  <pageMargins left="0.75" right="0.75" top="1" bottom="1" header="0.5" footer="0.5"/>
  <pageSetup fitToHeight="0" fitToWidth="1"/>
</worksheet>
</file>

<file path=xl/worksheets/sheet11.xml><?xml version="1.0" encoding="utf-8"?>
<worksheet xmlns="http://schemas.openxmlformats.org/spreadsheetml/2006/main">
  <sheetPr>
    <tabColor rgb="001F4E78"/>
    <outlinePr summaryBelow="1" summaryRight="1"/>
    <pageSetUpPr fitToPage="1"/>
  </sheetPr>
  <dimension ref="A1:G11"/>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20" customWidth="1" min="2" max="2"/>
    <col width="44" customWidth="1" min="3" max="3"/>
    <col width="16" customWidth="1" min="4" max="4"/>
    <col width="24" customWidth="1" min="5" max="5"/>
    <col width="17" customWidth="1" min="6" max="6"/>
    <col width="68" customWidth="1" min="7" max="7"/>
  </cols>
  <sheetData>
    <row r="1" ht="28" customHeight="1">
      <c r="A1" s="1" t="inlineStr">
        <is>
          <t>AUDIT EVIDENCE &amp; ABS SUBMISSION TRACKER</t>
        </is>
      </c>
    </row>
    <row r="2">
      <c r="A2" s="2" t="inlineStr">
        <is>
          <t>Illustrative tracker only; confirm current survey instructions, definitions, reporting unit and reporting period before real submission</t>
        </is>
      </c>
    </row>
    <row r="4" ht="30" customHeight="1">
      <c r="A4" s="4" t="inlineStr">
        <is>
          <t>Ref</t>
        </is>
      </c>
      <c r="B4" s="4" t="inlineStr">
        <is>
          <t>Workstream</t>
        </is>
      </c>
      <c r="C4" s="4" t="inlineStr">
        <is>
          <t>Request / Deliverable</t>
        </is>
      </c>
      <c r="D4" s="4" t="inlineStr">
        <is>
          <t>Period</t>
        </is>
      </c>
      <c r="E4" s="4" t="inlineStr">
        <is>
          <t>Owner Role</t>
        </is>
      </c>
      <c r="F4" s="4" t="inlineStr">
        <is>
          <t>Status</t>
        </is>
      </c>
      <c r="G4" s="4" t="inlineStr">
        <is>
          <t>Evidence / Validation Notes</t>
        </is>
      </c>
    </row>
    <row r="5">
      <c r="A5" s="5" t="inlineStr">
        <is>
          <t>AUD-01</t>
        </is>
      </c>
      <c r="B5" s="5" t="inlineStr">
        <is>
          <t>External audit</t>
        </is>
      </c>
      <c r="C5" s="5" t="inlineStr">
        <is>
          <t>Trial balance tied to signed-off general ledger</t>
        </is>
      </c>
      <c r="D5" s="5" t="inlineStr">
        <is>
          <t>FY2026</t>
        </is>
      </c>
      <c r="E5" s="5" t="inlineStr">
        <is>
          <t>Financial Accountant</t>
        </is>
      </c>
      <c r="F5" s="5" t="inlineStr">
        <is>
          <t>In progress</t>
        </is>
      </c>
      <c r="G5" s="5" t="inlineStr">
        <is>
          <t>Reconcile totals and retain version-controlled export.</t>
        </is>
      </c>
    </row>
    <row r="6">
      <c r="A6" s="5" t="inlineStr">
        <is>
          <t>AUD-02</t>
        </is>
      </c>
      <c r="B6" s="5" t="inlineStr">
        <is>
          <t>External audit</t>
        </is>
      </c>
      <c r="C6" s="5" t="inlineStr">
        <is>
          <t>Fixed asset additions and disposals sample</t>
        </is>
      </c>
      <c r="D6" s="5" t="inlineStr">
        <is>
          <t>FY2026</t>
        </is>
      </c>
      <c r="E6" s="5" t="inlineStr">
        <is>
          <t>Accountant</t>
        </is>
      </c>
      <c r="F6" s="5" t="inlineStr">
        <is>
          <t>Not started</t>
        </is>
      </c>
      <c r="G6" s="5" t="inlineStr">
        <is>
          <t>Invoices, approvals, in-service evidence and disposal support.</t>
        </is>
      </c>
    </row>
    <row r="7">
      <c r="A7" s="5" t="inlineStr">
        <is>
          <t>AUD-03</t>
        </is>
      </c>
      <c r="B7" s="5" t="inlineStr">
        <is>
          <t>External audit</t>
        </is>
      </c>
      <c r="C7" s="5" t="inlineStr">
        <is>
          <t>Bank confirmations and year-end reconciliation</t>
        </is>
      </c>
      <c r="D7" s="5" t="inlineStr">
        <is>
          <t>30-Jun-2026</t>
        </is>
      </c>
      <c r="E7" s="5" t="inlineStr">
        <is>
          <t>Treasury / Accountant</t>
        </is>
      </c>
      <c r="F7" s="5" t="inlineStr">
        <is>
          <t>Not started</t>
        </is>
      </c>
      <c r="G7" s="5" t="inlineStr">
        <is>
          <t>Tie confirmation to ledger and explain reconciling items.</t>
        </is>
      </c>
    </row>
    <row r="8">
      <c r="A8" s="5" t="inlineStr">
        <is>
          <t>AUD-04</t>
        </is>
      </c>
      <c r="B8" s="5" t="inlineStr">
        <is>
          <t>External audit</t>
        </is>
      </c>
      <c r="C8" s="5" t="inlineStr">
        <is>
          <t>Inventory existence and valuation support</t>
        </is>
      </c>
      <c r="D8" s="5" t="inlineStr">
        <is>
          <t>30-Jun-2026</t>
        </is>
      </c>
      <c r="E8" s="5" t="inlineStr">
        <is>
          <t>Inventory Accountant</t>
        </is>
      </c>
      <c r="F8" s="5" t="inlineStr">
        <is>
          <t>Not started</t>
        </is>
      </c>
      <c r="G8" s="5" t="inlineStr">
        <is>
          <t>Stock count, cut-off testing, valuation methodology and provisions.</t>
        </is>
      </c>
    </row>
    <row r="9">
      <c r="A9" s="5" t="inlineStr">
        <is>
          <t>ABS-01</t>
        </is>
      </c>
      <c r="B9" s="5" t="inlineStr">
        <is>
          <t>ABS reporting</t>
        </is>
      </c>
      <c r="C9" s="5" t="inlineStr">
        <is>
          <t>Confirm survey scope and applicable reporting unit</t>
        </is>
      </c>
      <c r="D9" s="5" t="inlineStr">
        <is>
          <t>Sep-2026</t>
        </is>
      </c>
      <c r="E9" s="5" t="inlineStr">
        <is>
          <t>Finance Manager</t>
        </is>
      </c>
      <c r="F9" s="5" t="inlineStr">
        <is>
          <t>Not started</t>
        </is>
      </c>
      <c r="G9" s="5" t="inlineStr">
        <is>
          <t>Use official instructions; do not assume entity mapping.</t>
        </is>
      </c>
    </row>
    <row r="10">
      <c r="A10" s="5" t="inlineStr">
        <is>
          <t>ABS-02</t>
        </is>
      </c>
      <c r="B10" s="5" t="inlineStr">
        <is>
          <t>ABS reporting</t>
        </is>
      </c>
      <c r="C10" s="5" t="inlineStr">
        <is>
          <t>Reconcile turnover and employment figures to source systems</t>
        </is>
      </c>
      <c r="D10" s="5" t="inlineStr">
        <is>
          <t>Sep-2026</t>
        </is>
      </c>
      <c r="E10" s="5" t="inlineStr">
        <is>
          <t>Finance Analyst</t>
        </is>
      </c>
      <c r="F10" s="5" t="inlineStr">
        <is>
          <t>Not started</t>
        </is>
      </c>
      <c r="G10" s="5" t="inlineStr">
        <is>
          <t>Retain source extracts, definitions, sign-off and submission receipt.</t>
        </is>
      </c>
    </row>
    <row r="11">
      <c r="A11" s="5" t="inlineStr">
        <is>
          <t>ABS-03</t>
        </is>
      </c>
      <c r="B11" s="5" t="inlineStr">
        <is>
          <t>Governance</t>
        </is>
      </c>
      <c r="C11" s="5" t="inlineStr">
        <is>
          <t>Independent review of submitted figures</t>
        </is>
      </c>
      <c r="D11" s="5" t="inlineStr">
        <is>
          <t>Sep-2026</t>
        </is>
      </c>
      <c r="E11" s="5" t="inlineStr">
        <is>
          <t>Financial Controller</t>
        </is>
      </c>
      <c r="F11" s="5" t="inlineStr">
        <is>
          <t>Not started</t>
        </is>
      </c>
      <c r="G11" s="5" t="inlineStr">
        <is>
          <t>Document preparer/reviewer and final submitted version.</t>
        </is>
      </c>
    </row>
  </sheetData>
  <mergeCells count="2">
    <mergeCell ref="A2:F2"/>
    <mergeCell ref="A1:F1"/>
  </mergeCells>
  <pageMargins left="0.75" right="0.75" top="1" bottom="1" header="0.5" footer="0.5"/>
  <pageSetup fitToHeight="0" fitToWidth="1"/>
</worksheet>
</file>

<file path=xl/worksheets/sheet12.xml><?xml version="1.0" encoding="utf-8"?>
<worksheet xmlns="http://schemas.openxmlformats.org/spreadsheetml/2006/main">
  <sheetPr>
    <tabColor rgb="001F4E78"/>
    <outlinePr summaryBelow="1" summaryRight="1"/>
    <pageSetUpPr fitToPage="1"/>
  </sheetPr>
  <dimension ref="A1:I9"/>
  <sheetViews>
    <sheetView showGridLines="0" zoomScale="90" workbookViewId="0">
      <pane ySplit="4" topLeftCell="A5" activePane="bottomLeft" state="frozen"/>
      <selection pane="bottomLeft" activeCell="A1" sqref="A1"/>
    </sheetView>
  </sheetViews>
  <sheetFormatPr baseColWidth="8" defaultRowHeight="15"/>
  <cols>
    <col width="10" customWidth="1" min="1" max="1"/>
    <col width="32" customWidth="1" min="2" max="2"/>
    <col width="43" customWidth="1" min="3" max="3"/>
    <col width="60" customWidth="1" min="4" max="4"/>
    <col width="14" customWidth="1" min="5" max="5"/>
    <col width="24" customWidth="1" min="6" max="6"/>
    <col width="17" customWidth="1" min="7" max="7"/>
    <col width="32" customWidth="1" min="8" max="8"/>
    <col width="48" customWidth="1" min="9" max="9"/>
  </cols>
  <sheetData>
    <row r="1" ht="28" customHeight="1">
      <c r="A1" s="1" t="inlineStr">
        <is>
          <t>FINANCE PROCESS IMPROVEMENT LOG</t>
        </is>
      </c>
    </row>
    <row r="2">
      <c r="A2" s="2" t="inlineStr">
        <is>
          <t>Illustrative hypotheses; quantify benefits against a baseline and validate controls before deployment</t>
        </is>
      </c>
    </row>
    <row r="4" ht="30" customHeight="1">
      <c r="A4" s="4" t="inlineStr">
        <is>
          <t>ID</t>
        </is>
      </c>
      <c r="B4" s="4" t="inlineStr">
        <is>
          <t>Opportunity</t>
        </is>
      </c>
      <c r="C4" s="4" t="inlineStr">
        <is>
          <t>Current Issue / Hypothesis</t>
        </is>
      </c>
      <c r="D4" s="4" t="inlineStr">
        <is>
          <t>Proposed Action</t>
        </is>
      </c>
      <c r="E4" s="4" t="inlineStr">
        <is>
          <t>Priority</t>
        </is>
      </c>
      <c r="F4" s="4" t="inlineStr">
        <is>
          <t>Estimated Hours Saved / Month</t>
        </is>
      </c>
      <c r="G4" s="4" t="inlineStr">
        <is>
          <t>Status</t>
        </is>
      </c>
      <c r="H4" s="4" t="inlineStr">
        <is>
          <t>Success Measure</t>
        </is>
      </c>
      <c r="I4" s="4" t="inlineStr">
        <is>
          <t>Control / Risk</t>
        </is>
      </c>
    </row>
    <row r="5">
      <c r="A5" s="5" t="inlineStr">
        <is>
          <t>PI-01</t>
        </is>
      </c>
      <c r="B5" s="5" t="inlineStr">
        <is>
          <t>Automate recurring reconciliations</t>
        </is>
      </c>
      <c r="C5" s="5" t="inlineStr">
        <is>
          <t>Manual copy/paste increases review time and error risk.</t>
        </is>
      </c>
      <c r="D5" s="5" t="inlineStr">
        <is>
          <t>Use Power Query to standardise source files, map accounts and flag unmatched records; preserve source lineage.</t>
        </is>
      </c>
      <c r="E5" s="5" t="inlineStr">
        <is>
          <t>High</t>
        </is>
      </c>
      <c r="F5" s="5" t="n">
        <v>8</v>
      </c>
      <c r="G5" s="5" t="inlineStr">
        <is>
          <t>Proposed</t>
        </is>
      </c>
      <c r="H5" s="5" t="inlineStr">
        <is>
          <t>Hours per close; unresolved recon items</t>
        </is>
      </c>
      <c r="I5" s="5" t="inlineStr">
        <is>
          <t>Validate source totals, mapping, access and reviewer sign-off.</t>
        </is>
      </c>
    </row>
    <row r="6">
      <c r="A6" s="5" t="inlineStr">
        <is>
          <t>PI-02</t>
        </is>
      </c>
      <c r="B6" s="5" t="inlineStr">
        <is>
          <t>CAPEX reporting standardisation</t>
        </is>
      </c>
      <c r="C6" s="5" t="inlineStr">
        <is>
          <t>Project spend arrives in inconsistent formats.</t>
        </is>
      </c>
      <c r="D6" s="5" t="inlineStr">
        <is>
          <t>Use project IDs and a monthly roll-forward for budget, actuals, commitments and forecast-to-complete.</t>
        </is>
      </c>
      <c r="E6" s="5" t="inlineStr">
        <is>
          <t>High</t>
        </is>
      </c>
      <c r="F6" s="5" t="n">
        <v>5</v>
      </c>
      <c r="G6" s="5" t="inlineStr">
        <is>
          <t>In progress</t>
        </is>
      </c>
      <c r="H6" s="5" t="inlineStr">
        <is>
          <t>On-time reporting; forecast variance</t>
        </is>
      </c>
      <c r="I6" s="5" t="inlineStr">
        <is>
          <t>Reconcile report totals to GL/AP and approved purchase orders.</t>
        </is>
      </c>
    </row>
    <row r="7">
      <c r="A7" s="5" t="inlineStr">
        <is>
          <t>PI-03</t>
        </is>
      </c>
      <c r="B7" s="5" t="inlineStr">
        <is>
          <t>Close calendar ownership</t>
        </is>
      </c>
      <c r="C7" s="5" t="inlineStr">
        <is>
          <t>Tasks/evidence are tracked across email.</t>
        </is>
      </c>
      <c r="D7" s="5" t="inlineStr">
        <is>
          <t>Create a shared close checklist with owners, due dates, evidence links and escalation rules.</t>
        </is>
      </c>
      <c r="E7" s="5" t="inlineStr">
        <is>
          <t>Medium</t>
        </is>
      </c>
      <c r="F7" s="5" t="n">
        <v>4</v>
      </c>
      <c r="G7" s="5" t="inlineStr">
        <is>
          <t>Proposed</t>
        </is>
      </c>
      <c r="H7" s="5" t="inlineStr">
        <is>
          <t>Close duration; overdue tasks</t>
        </is>
      </c>
      <c r="I7" s="5" t="inlineStr">
        <is>
          <t>Role-based access and immutable review evidence where possible.</t>
        </is>
      </c>
    </row>
    <row r="8">
      <c r="A8" s="5" t="inlineStr">
        <is>
          <t>PI-04</t>
        </is>
      </c>
      <c r="B8" s="5" t="inlineStr">
        <is>
          <t>AI-assisted variance commentary</t>
        </is>
      </c>
      <c r="C8" s="5" t="inlineStr">
        <is>
          <t>First drafts take time and may be inconsistent.</t>
        </is>
      </c>
      <c r="D8" s="5" t="inlineStr">
        <is>
          <t>Use approved AI tools on permitted, non-sensitive extracts; require source-backed review and approval.</t>
        </is>
      </c>
      <c r="E8" s="5" t="inlineStr">
        <is>
          <t>Medium</t>
        </is>
      </c>
      <c r="F8" s="5" t="n">
        <v>3</v>
      </c>
      <c r="G8" s="5" t="inlineStr">
        <is>
          <t>Proposed</t>
        </is>
      </c>
      <c r="H8" s="5" t="inlineStr">
        <is>
          <t>Preparation time; correction rate</t>
        </is>
      </c>
      <c r="I8" s="5" t="inlineStr">
        <is>
          <t>No confidential uploads to unapproved tools; human validation mandatory.</t>
        </is>
      </c>
    </row>
    <row r="9">
      <c r="A9" s="5" t="inlineStr">
        <is>
          <t>PI-05</t>
        </is>
      </c>
      <c r="B9" s="5" t="inlineStr">
        <is>
          <t>Fixed asset data quality</t>
        </is>
      </c>
      <c r="C9" s="5" t="inlineStr">
        <is>
          <t>Missing dates/useful lives delay depreciation review.</t>
        </is>
      </c>
      <c r="D9" s="5" t="inlineStr">
        <is>
          <t>Add required-field checks and monthly exception report.</t>
        </is>
      </c>
      <c r="E9" s="5" t="inlineStr">
        <is>
          <t>Medium</t>
        </is>
      </c>
      <c r="F9" s="5" t="n">
        <v>2</v>
      </c>
      <c r="G9" s="5" t="inlineStr">
        <is>
          <t>Proposed</t>
        </is>
      </c>
      <c r="H9" s="5" t="inlineStr">
        <is>
          <t>Register completeness; depreciation corrections</t>
        </is>
      </c>
      <c r="I9" s="5" t="inlineStr">
        <is>
          <t>Restrict changes and retain approved asset forms.</t>
        </is>
      </c>
    </row>
  </sheetData>
  <mergeCells count="2">
    <mergeCell ref="A2:F2"/>
    <mergeCell ref="A1:F1"/>
  </mergeCells>
  <pageMargins left="0.75" right="0.75" top="1" bottom="1" header="0.5" footer="0.5"/>
  <pageSetup fitToHeight="0" fitToWidth="1"/>
</worksheet>
</file>

<file path=xl/worksheets/sheet13.xml><?xml version="1.0" encoding="utf-8"?>
<worksheet xmlns="http://schemas.openxmlformats.org/spreadsheetml/2006/main">
  <sheetPr>
    <tabColor rgb="001F4E78"/>
    <outlinePr summaryBelow="1" summaryRight="1"/>
    <pageSetUpPr fitToPage="1"/>
  </sheetPr>
  <dimension ref="A1:G36"/>
  <sheetViews>
    <sheetView showGridLines="0" zoomScale="90" workbookViewId="0">
      <pane ySplit="4" topLeftCell="A5" activePane="bottomLeft" state="frozen"/>
      <selection pane="bottomLeft" activeCell="A1" sqref="A1"/>
    </sheetView>
  </sheetViews>
  <sheetFormatPr baseColWidth="8" defaultRowHeight="15"/>
  <cols>
    <col width="16" customWidth="1" min="1" max="1"/>
    <col width="27" customWidth="1" min="2" max="2"/>
    <col width="24" customWidth="1" min="3" max="3"/>
    <col width="15" customWidth="1" min="4" max="4"/>
    <col width="18" customWidth="1" min="5" max="5"/>
    <col width="12" customWidth="1" min="6" max="6"/>
    <col width="18" customWidth="1" min="7" max="7"/>
  </cols>
  <sheetData>
    <row r="1" ht="28" customHeight="1">
      <c r="A1" s="1" t="inlineStr">
        <is>
          <t>POWER BI FACT DATA</t>
        </is>
      </c>
    </row>
    <row r="2">
      <c r="A2" s="2" t="inlineStr">
        <is>
          <t>Long-format monthly fact table; import into Power BI and use Month, Entity, Metric, Scenario, Amount</t>
        </is>
      </c>
    </row>
    <row r="4" ht="30" customHeight="1">
      <c r="A4" s="4" t="inlineStr">
        <is>
          <t>Month</t>
        </is>
      </c>
      <c r="B4" s="4" t="inlineStr">
        <is>
          <t>Entity</t>
        </is>
      </c>
      <c r="C4" s="4" t="inlineStr">
        <is>
          <t>Metric</t>
        </is>
      </c>
      <c r="D4" s="4" t="inlineStr">
        <is>
          <t>Scenario</t>
        </is>
      </c>
      <c r="E4" s="4" t="inlineStr">
        <is>
          <t>Amount</t>
        </is>
      </c>
      <c r="F4" s="4" t="inlineStr">
        <is>
          <t>Currency</t>
        </is>
      </c>
      <c r="G4" s="4" t="inlineStr">
        <is>
          <t>Data Type</t>
        </is>
      </c>
    </row>
    <row r="5">
      <c r="A5" s="5" t="inlineStr">
        <is>
          <t>2026-09-30</t>
        </is>
      </c>
      <c r="B5" s="5" t="inlineStr">
        <is>
          <t>VIC Manufacturing</t>
        </is>
      </c>
      <c r="C5" s="5" t="inlineStr">
        <is>
          <t>Revenue</t>
        </is>
      </c>
      <c r="D5" s="5" t="inlineStr">
        <is>
          <t>Actual</t>
        </is>
      </c>
      <c r="E5" s="5" t="n">
        <v>2450000</v>
      </c>
      <c r="F5" s="5" t="inlineStr">
        <is>
          <t>AUD</t>
        </is>
      </c>
      <c r="G5" s="5" t="inlineStr">
        <is>
          <t>Illustrative</t>
        </is>
      </c>
    </row>
    <row r="6">
      <c r="A6" s="5" t="inlineStr">
        <is>
          <t>2026-09-30</t>
        </is>
      </c>
      <c r="B6" s="5" t="inlineStr">
        <is>
          <t>VIC Manufacturing</t>
        </is>
      </c>
      <c r="C6" s="5" t="inlineStr">
        <is>
          <t>Revenue</t>
        </is>
      </c>
      <c r="D6" s="5" t="inlineStr">
        <is>
          <t>Budget</t>
        </is>
      </c>
      <c r="E6" s="5" t="n">
        <v>2380000</v>
      </c>
      <c r="F6" s="5" t="inlineStr">
        <is>
          <t>AUD</t>
        </is>
      </c>
      <c r="G6" s="5" t="inlineStr">
        <is>
          <t>Illustrative</t>
        </is>
      </c>
    </row>
    <row r="7">
      <c r="A7" s="5" t="inlineStr">
        <is>
          <t>2026-09-30</t>
        </is>
      </c>
      <c r="B7" s="5" t="inlineStr">
        <is>
          <t>VIC Manufacturing</t>
        </is>
      </c>
      <c r="C7" s="5" t="inlineStr">
        <is>
          <t>COGS</t>
        </is>
      </c>
      <c r="D7" s="5" t="inlineStr">
        <is>
          <t>Actual</t>
        </is>
      </c>
      <c r="E7" s="5" t="n">
        <v>1470000</v>
      </c>
      <c r="F7" s="5" t="inlineStr">
        <is>
          <t>AUD</t>
        </is>
      </c>
      <c r="G7" s="5" t="inlineStr">
        <is>
          <t>Illustrative</t>
        </is>
      </c>
    </row>
    <row r="8">
      <c r="A8" s="5" t="inlineStr">
        <is>
          <t>2026-09-30</t>
        </is>
      </c>
      <c r="B8" s="5" t="inlineStr">
        <is>
          <t>VIC Manufacturing</t>
        </is>
      </c>
      <c r="C8" s="5" t="inlineStr">
        <is>
          <t>COGS</t>
        </is>
      </c>
      <c r="D8" s="5" t="inlineStr">
        <is>
          <t>Budget</t>
        </is>
      </c>
      <c r="E8" s="5" t="n">
        <v>1428000</v>
      </c>
      <c r="F8" s="5" t="inlineStr">
        <is>
          <t>AUD</t>
        </is>
      </c>
      <c r="G8" s="5" t="inlineStr">
        <is>
          <t>Illustrative</t>
        </is>
      </c>
    </row>
    <row r="9">
      <c r="A9" s="5" t="inlineStr">
        <is>
          <t>2026-09-30</t>
        </is>
      </c>
      <c r="B9" s="5" t="inlineStr">
        <is>
          <t>VIC Manufacturing</t>
        </is>
      </c>
      <c r="C9" s="5" t="inlineStr">
        <is>
          <t>Operating Expenses</t>
        </is>
      </c>
      <c r="D9" s="5" t="inlineStr">
        <is>
          <t>Actual</t>
        </is>
      </c>
      <c r="E9" s="5" t="n">
        <v>510000</v>
      </c>
      <c r="F9" s="5" t="inlineStr">
        <is>
          <t>AUD</t>
        </is>
      </c>
      <c r="G9" s="5" t="inlineStr">
        <is>
          <t>Illustrative</t>
        </is>
      </c>
    </row>
    <row r="10">
      <c r="A10" s="5" t="inlineStr">
        <is>
          <t>2026-09-30</t>
        </is>
      </c>
      <c r="B10" s="5" t="inlineStr">
        <is>
          <t>VIC Manufacturing</t>
        </is>
      </c>
      <c r="C10" s="5" t="inlineStr">
        <is>
          <t>Operating Expenses</t>
        </is>
      </c>
      <c r="D10" s="5" t="inlineStr">
        <is>
          <t>Budget</t>
        </is>
      </c>
      <c r="E10" s="5" t="n">
        <v>495000</v>
      </c>
      <c r="F10" s="5" t="inlineStr">
        <is>
          <t>AUD</t>
        </is>
      </c>
      <c r="G10" s="5" t="inlineStr">
        <is>
          <t>Illustrative</t>
        </is>
      </c>
    </row>
    <row r="11">
      <c r="A11" s="5" t="inlineStr">
        <is>
          <t>2026-09-30</t>
        </is>
      </c>
      <c r="B11" s="5" t="inlineStr">
        <is>
          <t>VIC Manufacturing</t>
        </is>
      </c>
      <c r="C11" s="5" t="inlineStr">
        <is>
          <t>EBITDA</t>
        </is>
      </c>
      <c r="D11" s="5" t="inlineStr">
        <is>
          <t>Actual</t>
        </is>
      </c>
      <c r="E11" s="5" t="n">
        <v>470000</v>
      </c>
      <c r="F11" s="5" t="inlineStr">
        <is>
          <t>AUD</t>
        </is>
      </c>
      <c r="G11" s="5" t="inlineStr">
        <is>
          <t>Illustrative</t>
        </is>
      </c>
    </row>
    <row r="12">
      <c r="A12" s="5" t="inlineStr">
        <is>
          <t>2026-09-30</t>
        </is>
      </c>
      <c r="B12" s="5" t="inlineStr">
        <is>
          <t>VIC Manufacturing</t>
        </is>
      </c>
      <c r="C12" s="5" t="inlineStr">
        <is>
          <t>EBITDA</t>
        </is>
      </c>
      <c r="D12" s="5" t="inlineStr">
        <is>
          <t>Budget</t>
        </is>
      </c>
      <c r="E12" s="5" t="n">
        <v>457000</v>
      </c>
      <c r="F12" s="5" t="inlineStr">
        <is>
          <t>AUD</t>
        </is>
      </c>
      <c r="G12" s="5" t="inlineStr">
        <is>
          <t>Illustrative</t>
        </is>
      </c>
    </row>
    <row r="13">
      <c r="A13" s="5" t="inlineStr">
        <is>
          <t>2026-09-30</t>
        </is>
      </c>
      <c r="B13" s="5" t="inlineStr">
        <is>
          <t>NSW Distribution</t>
        </is>
      </c>
      <c r="C13" s="5" t="inlineStr">
        <is>
          <t>Revenue</t>
        </is>
      </c>
      <c r="D13" s="5" t="inlineStr">
        <is>
          <t>Actual</t>
        </is>
      </c>
      <c r="E13" s="5" t="n">
        <v>1280000</v>
      </c>
      <c r="F13" s="5" t="inlineStr">
        <is>
          <t>AUD</t>
        </is>
      </c>
      <c r="G13" s="5" t="inlineStr">
        <is>
          <t>Illustrative</t>
        </is>
      </c>
    </row>
    <row r="14">
      <c r="A14" s="5" t="inlineStr">
        <is>
          <t>2026-09-30</t>
        </is>
      </c>
      <c r="B14" s="5" t="inlineStr">
        <is>
          <t>NSW Distribution</t>
        </is>
      </c>
      <c r="C14" s="5" t="inlineStr">
        <is>
          <t>Revenue</t>
        </is>
      </c>
      <c r="D14" s="5" t="inlineStr">
        <is>
          <t>Budget</t>
        </is>
      </c>
      <c r="E14" s="5" t="n">
        <v>1320000</v>
      </c>
      <c r="F14" s="5" t="inlineStr">
        <is>
          <t>AUD</t>
        </is>
      </c>
      <c r="G14" s="5" t="inlineStr">
        <is>
          <t>Illustrative</t>
        </is>
      </c>
    </row>
    <row r="15">
      <c r="A15" s="5" t="inlineStr">
        <is>
          <t>2026-09-30</t>
        </is>
      </c>
      <c r="B15" s="5" t="inlineStr">
        <is>
          <t>NSW Distribution</t>
        </is>
      </c>
      <c r="C15" s="5" t="inlineStr">
        <is>
          <t>COGS</t>
        </is>
      </c>
      <c r="D15" s="5" t="inlineStr">
        <is>
          <t>Actual</t>
        </is>
      </c>
      <c r="E15" s="5" t="n">
        <v>806000</v>
      </c>
      <c r="F15" s="5" t="inlineStr">
        <is>
          <t>AUD</t>
        </is>
      </c>
      <c r="G15" s="5" t="inlineStr">
        <is>
          <t>Illustrative</t>
        </is>
      </c>
    </row>
    <row r="16">
      <c r="A16" s="5" t="inlineStr">
        <is>
          <t>2026-09-30</t>
        </is>
      </c>
      <c r="B16" s="5" t="inlineStr">
        <is>
          <t>NSW Distribution</t>
        </is>
      </c>
      <c r="C16" s="5" t="inlineStr">
        <is>
          <t>COGS</t>
        </is>
      </c>
      <c r="D16" s="5" t="inlineStr">
        <is>
          <t>Budget</t>
        </is>
      </c>
      <c r="E16" s="5" t="n">
        <v>831600</v>
      </c>
      <c r="F16" s="5" t="inlineStr">
        <is>
          <t>AUD</t>
        </is>
      </c>
      <c r="G16" s="5" t="inlineStr">
        <is>
          <t>Illustrative</t>
        </is>
      </c>
    </row>
    <row r="17">
      <c r="A17" s="5" t="inlineStr">
        <is>
          <t>2026-09-30</t>
        </is>
      </c>
      <c r="B17" s="5" t="inlineStr">
        <is>
          <t>NSW Distribution</t>
        </is>
      </c>
      <c r="C17" s="5" t="inlineStr">
        <is>
          <t>Operating Expenses</t>
        </is>
      </c>
      <c r="D17" s="5" t="inlineStr">
        <is>
          <t>Actual</t>
        </is>
      </c>
      <c r="E17" s="5" t="n">
        <v>284000</v>
      </c>
      <c r="F17" s="5" t="inlineStr">
        <is>
          <t>AUD</t>
        </is>
      </c>
      <c r="G17" s="5" t="inlineStr">
        <is>
          <t>Illustrative</t>
        </is>
      </c>
    </row>
    <row r="18">
      <c r="A18" s="5" t="inlineStr">
        <is>
          <t>2026-09-30</t>
        </is>
      </c>
      <c r="B18" s="5" t="inlineStr">
        <is>
          <t>NSW Distribution</t>
        </is>
      </c>
      <c r="C18" s="5" t="inlineStr">
        <is>
          <t>Operating Expenses</t>
        </is>
      </c>
      <c r="D18" s="5" t="inlineStr">
        <is>
          <t>Budget</t>
        </is>
      </c>
      <c r="E18" s="5" t="n">
        <v>290000</v>
      </c>
      <c r="F18" s="5" t="inlineStr">
        <is>
          <t>AUD</t>
        </is>
      </c>
      <c r="G18" s="5" t="inlineStr">
        <is>
          <t>Illustrative</t>
        </is>
      </c>
    </row>
    <row r="19">
      <c r="A19" s="5" t="inlineStr">
        <is>
          <t>2026-09-30</t>
        </is>
      </c>
      <c r="B19" s="5" t="inlineStr">
        <is>
          <t>NSW Distribution</t>
        </is>
      </c>
      <c r="C19" s="5" t="inlineStr">
        <is>
          <t>EBITDA</t>
        </is>
      </c>
      <c r="D19" s="5" t="inlineStr">
        <is>
          <t>Actual</t>
        </is>
      </c>
      <c r="E19" s="5" t="n">
        <v>190000</v>
      </c>
      <c r="F19" s="5" t="inlineStr">
        <is>
          <t>AUD</t>
        </is>
      </c>
      <c r="G19" s="5" t="inlineStr">
        <is>
          <t>Illustrative</t>
        </is>
      </c>
    </row>
    <row r="20">
      <c r="A20" s="5" t="inlineStr">
        <is>
          <t>2026-09-30</t>
        </is>
      </c>
      <c r="B20" s="5" t="inlineStr">
        <is>
          <t>NSW Distribution</t>
        </is>
      </c>
      <c r="C20" s="5" t="inlineStr">
        <is>
          <t>EBITDA</t>
        </is>
      </c>
      <c r="D20" s="5" t="inlineStr">
        <is>
          <t>Budget</t>
        </is>
      </c>
      <c r="E20" s="5" t="n">
        <v>198400</v>
      </c>
      <c r="F20" s="5" t="inlineStr">
        <is>
          <t>AUD</t>
        </is>
      </c>
      <c r="G20" s="5" t="inlineStr">
        <is>
          <t>Illustrative</t>
        </is>
      </c>
    </row>
    <row r="21">
      <c r="A21" s="5" t="inlineStr">
        <is>
          <t>2026-09-30</t>
        </is>
      </c>
      <c r="B21" s="5" t="inlineStr">
        <is>
          <t>QLD Sales &amp; Distribution</t>
        </is>
      </c>
      <c r="C21" s="5" t="inlineStr">
        <is>
          <t>Revenue</t>
        </is>
      </c>
      <c r="D21" s="5" t="inlineStr">
        <is>
          <t>Actual</t>
        </is>
      </c>
      <c r="E21" s="5" t="n">
        <v>940000</v>
      </c>
      <c r="F21" s="5" t="inlineStr">
        <is>
          <t>AUD</t>
        </is>
      </c>
      <c r="G21" s="5" t="inlineStr">
        <is>
          <t>Illustrative</t>
        </is>
      </c>
    </row>
    <row r="22">
      <c r="A22" s="5" t="inlineStr">
        <is>
          <t>2026-09-30</t>
        </is>
      </c>
      <c r="B22" s="5" t="inlineStr">
        <is>
          <t>QLD Sales &amp; Distribution</t>
        </is>
      </c>
      <c r="C22" s="5" t="inlineStr">
        <is>
          <t>Revenue</t>
        </is>
      </c>
      <c r="D22" s="5" t="inlineStr">
        <is>
          <t>Budget</t>
        </is>
      </c>
      <c r="E22" s="5" t="n">
        <v>900000</v>
      </c>
      <c r="F22" s="5" t="inlineStr">
        <is>
          <t>AUD</t>
        </is>
      </c>
      <c r="G22" s="5" t="inlineStr">
        <is>
          <t>Illustrative</t>
        </is>
      </c>
    </row>
    <row r="23">
      <c r="A23" s="5" t="inlineStr">
        <is>
          <t>2026-09-30</t>
        </is>
      </c>
      <c r="B23" s="5" t="inlineStr">
        <is>
          <t>QLD Sales &amp; Distribution</t>
        </is>
      </c>
      <c r="C23" s="5" t="inlineStr">
        <is>
          <t>COGS</t>
        </is>
      </c>
      <c r="D23" s="5" t="inlineStr">
        <is>
          <t>Actual</t>
        </is>
      </c>
      <c r="E23" s="5" t="n">
        <v>611000</v>
      </c>
      <c r="F23" s="5" t="inlineStr">
        <is>
          <t>AUD</t>
        </is>
      </c>
      <c r="G23" s="5" t="inlineStr">
        <is>
          <t>Illustrative</t>
        </is>
      </c>
    </row>
    <row r="24">
      <c r="A24" s="5" t="inlineStr">
        <is>
          <t>2026-09-30</t>
        </is>
      </c>
      <c r="B24" s="5" t="inlineStr">
        <is>
          <t>QLD Sales &amp; Distribution</t>
        </is>
      </c>
      <c r="C24" s="5" t="inlineStr">
        <is>
          <t>COGS</t>
        </is>
      </c>
      <c r="D24" s="5" t="inlineStr">
        <is>
          <t>Budget</t>
        </is>
      </c>
      <c r="E24" s="5" t="n">
        <v>585000</v>
      </c>
      <c r="F24" s="5" t="inlineStr">
        <is>
          <t>AUD</t>
        </is>
      </c>
      <c r="G24" s="5" t="inlineStr">
        <is>
          <t>Illustrative</t>
        </is>
      </c>
    </row>
    <row r="25">
      <c r="A25" s="5" t="inlineStr">
        <is>
          <t>2026-09-30</t>
        </is>
      </c>
      <c r="B25" s="5" t="inlineStr">
        <is>
          <t>QLD Sales &amp; Distribution</t>
        </is>
      </c>
      <c r="C25" s="5" t="inlineStr">
        <is>
          <t>Operating Expenses</t>
        </is>
      </c>
      <c r="D25" s="5" t="inlineStr">
        <is>
          <t>Actual</t>
        </is>
      </c>
      <c r="E25" s="5" t="n">
        <v>205000</v>
      </c>
      <c r="F25" s="5" t="inlineStr">
        <is>
          <t>AUD</t>
        </is>
      </c>
      <c r="G25" s="5" t="inlineStr">
        <is>
          <t>Illustrative</t>
        </is>
      </c>
    </row>
    <row r="26">
      <c r="A26" s="5" t="inlineStr">
        <is>
          <t>2026-09-30</t>
        </is>
      </c>
      <c r="B26" s="5" t="inlineStr">
        <is>
          <t>QLD Sales &amp; Distribution</t>
        </is>
      </c>
      <c r="C26" s="5" t="inlineStr">
        <is>
          <t>Operating Expenses</t>
        </is>
      </c>
      <c r="D26" s="5" t="inlineStr">
        <is>
          <t>Budget</t>
        </is>
      </c>
      <c r="E26" s="5" t="n">
        <v>198000</v>
      </c>
      <c r="F26" s="5" t="inlineStr">
        <is>
          <t>AUD</t>
        </is>
      </c>
      <c r="G26" s="5" t="inlineStr">
        <is>
          <t>Illustrative</t>
        </is>
      </c>
    </row>
    <row r="27">
      <c r="A27" s="5" t="inlineStr">
        <is>
          <t>2026-09-30</t>
        </is>
      </c>
      <c r="B27" s="5" t="inlineStr">
        <is>
          <t>QLD Sales &amp; Distribution</t>
        </is>
      </c>
      <c r="C27" s="5" t="inlineStr">
        <is>
          <t>EBITDA</t>
        </is>
      </c>
      <c r="D27" s="5" t="inlineStr">
        <is>
          <t>Actual</t>
        </is>
      </c>
      <c r="E27" s="5" t="n">
        <v>124000</v>
      </c>
      <c r="F27" s="5" t="inlineStr">
        <is>
          <t>AUD</t>
        </is>
      </c>
      <c r="G27" s="5" t="inlineStr">
        <is>
          <t>Illustrative</t>
        </is>
      </c>
    </row>
    <row r="28">
      <c r="A28" s="5" t="inlineStr">
        <is>
          <t>2026-09-30</t>
        </is>
      </c>
      <c r="B28" s="5" t="inlineStr">
        <is>
          <t>QLD Sales &amp; Distribution</t>
        </is>
      </c>
      <c r="C28" s="5" t="inlineStr">
        <is>
          <t>EBITDA</t>
        </is>
      </c>
      <c r="D28" s="5" t="inlineStr">
        <is>
          <t>Budget</t>
        </is>
      </c>
      <c r="E28" s="5" t="n">
        <v>117000</v>
      </c>
      <c r="F28" s="5" t="inlineStr">
        <is>
          <t>AUD</t>
        </is>
      </c>
      <c r="G28" s="5" t="inlineStr">
        <is>
          <t>Illustrative</t>
        </is>
      </c>
    </row>
    <row r="29">
      <c r="A29" s="5" t="inlineStr">
        <is>
          <t>2026-09-30</t>
        </is>
      </c>
      <c r="B29" s="5" t="inlineStr">
        <is>
          <t>Group Head Office</t>
        </is>
      </c>
      <c r="C29" s="5" t="inlineStr">
        <is>
          <t>Revenue</t>
        </is>
      </c>
      <c r="D29" s="5" t="inlineStr">
        <is>
          <t>Actual</t>
        </is>
      </c>
      <c r="E29" s="5" t="n">
        <v>120000</v>
      </c>
      <c r="F29" s="5" t="inlineStr">
        <is>
          <t>AUD</t>
        </is>
      </c>
      <c r="G29" s="5" t="inlineStr">
        <is>
          <t>Illustrative</t>
        </is>
      </c>
    </row>
    <row r="30">
      <c r="A30" s="5" t="inlineStr">
        <is>
          <t>2026-09-30</t>
        </is>
      </c>
      <c r="B30" s="5" t="inlineStr">
        <is>
          <t>Group Head Office</t>
        </is>
      </c>
      <c r="C30" s="5" t="inlineStr">
        <is>
          <t>Revenue</t>
        </is>
      </c>
      <c r="D30" s="5" t="inlineStr">
        <is>
          <t>Budget</t>
        </is>
      </c>
      <c r="E30" s="5" t="n">
        <v>100000</v>
      </c>
      <c r="F30" s="5" t="inlineStr">
        <is>
          <t>AUD</t>
        </is>
      </c>
      <c r="G30" s="5" t="inlineStr">
        <is>
          <t>Illustrative</t>
        </is>
      </c>
    </row>
    <row r="31">
      <c r="A31" s="5" t="inlineStr">
        <is>
          <t>2026-09-30</t>
        </is>
      </c>
      <c r="B31" s="5" t="inlineStr">
        <is>
          <t>Group Head Office</t>
        </is>
      </c>
      <c r="C31" s="5" t="inlineStr">
        <is>
          <t>COGS</t>
        </is>
      </c>
      <c r="D31" s="5" t="inlineStr">
        <is>
          <t>Actual</t>
        </is>
      </c>
      <c r="E31" s="5" t="n">
        <v>0</v>
      </c>
      <c r="F31" s="5" t="inlineStr">
        <is>
          <t>AUD</t>
        </is>
      </c>
      <c r="G31" s="5" t="inlineStr">
        <is>
          <t>Illustrative</t>
        </is>
      </c>
    </row>
    <row r="32">
      <c r="A32" s="5" t="inlineStr">
        <is>
          <t>2026-09-30</t>
        </is>
      </c>
      <c r="B32" s="5" t="inlineStr">
        <is>
          <t>Group Head Office</t>
        </is>
      </c>
      <c r="C32" s="5" t="inlineStr">
        <is>
          <t>COGS</t>
        </is>
      </c>
      <c r="D32" s="5" t="inlineStr">
        <is>
          <t>Budget</t>
        </is>
      </c>
      <c r="E32" s="5" t="n">
        <v>0</v>
      </c>
      <c r="F32" s="5" t="inlineStr">
        <is>
          <t>AUD</t>
        </is>
      </c>
      <c r="G32" s="5" t="inlineStr">
        <is>
          <t>Illustrative</t>
        </is>
      </c>
    </row>
    <row r="33">
      <c r="A33" s="5" t="inlineStr">
        <is>
          <t>2026-09-30</t>
        </is>
      </c>
      <c r="B33" s="5" t="inlineStr">
        <is>
          <t>Group Head Office</t>
        </is>
      </c>
      <c r="C33" s="5" t="inlineStr">
        <is>
          <t>Operating Expenses</t>
        </is>
      </c>
      <c r="D33" s="5" t="inlineStr">
        <is>
          <t>Actual</t>
        </is>
      </c>
      <c r="E33" s="5" t="n">
        <v>365000</v>
      </c>
      <c r="F33" s="5" t="inlineStr">
        <is>
          <t>AUD</t>
        </is>
      </c>
      <c r="G33" s="5" t="inlineStr">
        <is>
          <t>Illustrative</t>
        </is>
      </c>
    </row>
    <row r="34">
      <c r="A34" s="5" t="inlineStr">
        <is>
          <t>2026-09-30</t>
        </is>
      </c>
      <c r="B34" s="5" t="inlineStr">
        <is>
          <t>Group Head Office</t>
        </is>
      </c>
      <c r="C34" s="5" t="inlineStr">
        <is>
          <t>Operating Expenses</t>
        </is>
      </c>
      <c r="D34" s="5" t="inlineStr">
        <is>
          <t>Budget</t>
        </is>
      </c>
      <c r="E34" s="5" t="n">
        <v>350000</v>
      </c>
      <c r="F34" s="5" t="inlineStr">
        <is>
          <t>AUD</t>
        </is>
      </c>
      <c r="G34" s="5" t="inlineStr">
        <is>
          <t>Illustrative</t>
        </is>
      </c>
    </row>
    <row r="35">
      <c r="A35" s="5" t="inlineStr">
        <is>
          <t>2026-09-30</t>
        </is>
      </c>
      <c r="B35" s="5" t="inlineStr">
        <is>
          <t>Group Head Office</t>
        </is>
      </c>
      <c r="C35" s="5" t="inlineStr">
        <is>
          <t>EBITDA</t>
        </is>
      </c>
      <c r="D35" s="5" t="inlineStr">
        <is>
          <t>Actual</t>
        </is>
      </c>
      <c r="E35" s="5" t="n">
        <v>-245000</v>
      </c>
      <c r="F35" s="5" t="inlineStr">
        <is>
          <t>AUD</t>
        </is>
      </c>
      <c r="G35" s="5" t="inlineStr">
        <is>
          <t>Illustrative</t>
        </is>
      </c>
    </row>
    <row r="36">
      <c r="A36" s="5" t="inlineStr">
        <is>
          <t>2026-09-30</t>
        </is>
      </c>
      <c r="B36" s="5" t="inlineStr">
        <is>
          <t>Group Head Office</t>
        </is>
      </c>
      <c r="C36" s="5" t="inlineStr">
        <is>
          <t>EBITDA</t>
        </is>
      </c>
      <c r="D36" s="5" t="inlineStr">
        <is>
          <t>Budget</t>
        </is>
      </c>
      <c r="E36" s="5" t="n">
        <v>-250000</v>
      </c>
      <c r="F36" s="5" t="inlineStr">
        <is>
          <t>AUD</t>
        </is>
      </c>
      <c r="G36" s="5" t="inlineStr">
        <is>
          <t>Illustrative</t>
        </is>
      </c>
    </row>
  </sheetData>
  <autoFilter ref="A4:G36"/>
  <mergeCells count="2">
    <mergeCell ref="A2:F2"/>
    <mergeCell ref="A1:F1"/>
  </mergeCell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2026-10-09T02:00:31Z</dcterms:created>
  <dcterms:modified xmlns:dcterms="http://purl.org/dc/terms/" xmlns:xsi="http://www.w3.org/2001/XMLSchema-instance" xsi:type="dcterms:W3CDTF">2026-10-09T02:00:43Z</dcterms:modified>
</cp:coreProperties>
</file>